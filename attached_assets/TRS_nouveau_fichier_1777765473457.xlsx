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riaktn-my.sharepoint.com/personal/omar_maghraoui_teriak_com/Documents/Bureau/"/>
    </mc:Choice>
  </mc:AlternateContent>
  <xr:revisionPtr revIDLastSave="31" documentId="8_{C0459351-7C4E-4AFF-9734-0A89B201BCDB}" xr6:coauthVersionLast="47" xr6:coauthVersionMax="47" xr10:uidLastSave="{798DC64F-5A86-4BF9-A761-7860056F31E7}"/>
  <bookViews>
    <workbookView xWindow="-108" yWindow="-108" windowWidth="23256" windowHeight="12456" activeTab="2" xr2:uid="{1454E7FA-FF9A-4C16-A8F1-BF14586B5BF4}"/>
  </bookViews>
  <sheets>
    <sheet name="03-25" sheetId="2" r:id="rId1"/>
    <sheet name="04-25" sheetId="1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6" i="3" l="1"/>
  <c r="T36" i="3"/>
  <c r="V35" i="3"/>
  <c r="T35" i="3"/>
  <c r="E35" i="3"/>
  <c r="E36" i="3" s="1"/>
  <c r="D35" i="3"/>
  <c r="D36" i="3" s="1"/>
  <c r="Z34" i="3"/>
  <c r="W34" i="3"/>
  <c r="U34" i="3"/>
  <c r="R34" i="3"/>
  <c r="M34" i="3"/>
  <c r="L34" i="3"/>
  <c r="F34" i="3"/>
  <c r="Z33" i="3"/>
  <c r="W33" i="3"/>
  <c r="U33" i="3"/>
  <c r="R33" i="3"/>
  <c r="M33" i="3"/>
  <c r="S33" i="3" s="1"/>
  <c r="L33" i="3"/>
  <c r="F33" i="3"/>
  <c r="Z32" i="3"/>
  <c r="W32" i="3"/>
  <c r="U32" i="3"/>
  <c r="R32" i="3"/>
  <c r="L32" i="3"/>
  <c r="M32" i="3" s="1"/>
  <c r="F32" i="3"/>
  <c r="Z31" i="3"/>
  <c r="W31" i="3"/>
  <c r="U31" i="3"/>
  <c r="R31" i="3"/>
  <c r="M31" i="3"/>
  <c r="S31" i="3" s="1"/>
  <c r="L31" i="3"/>
  <c r="F31" i="3"/>
  <c r="Z30" i="3"/>
  <c r="W30" i="3"/>
  <c r="U30" i="3"/>
  <c r="R30" i="3"/>
  <c r="M30" i="3"/>
  <c r="S30" i="3" s="1"/>
  <c r="L30" i="3"/>
  <c r="F30" i="3"/>
  <c r="Z29" i="3"/>
  <c r="W29" i="3"/>
  <c r="U29" i="3"/>
  <c r="R29" i="3"/>
  <c r="L29" i="3"/>
  <c r="M29" i="3" s="1"/>
  <c r="F29" i="3"/>
  <c r="AF28" i="3"/>
  <c r="Z28" i="3"/>
  <c r="W28" i="3"/>
  <c r="U28" i="3"/>
  <c r="R28" i="3"/>
  <c r="M28" i="3"/>
  <c r="S28" i="3" s="1"/>
  <c r="L28" i="3"/>
  <c r="F28" i="3"/>
  <c r="AF27" i="3"/>
  <c r="Z27" i="3"/>
  <c r="W27" i="3"/>
  <c r="U27" i="3"/>
  <c r="R27" i="3"/>
  <c r="M27" i="3"/>
  <c r="S27" i="3" s="1"/>
  <c r="L27" i="3"/>
  <c r="F27" i="3"/>
  <c r="Z26" i="3"/>
  <c r="W26" i="3"/>
  <c r="U26" i="3"/>
  <c r="R26" i="3"/>
  <c r="L26" i="3"/>
  <c r="M26" i="3" s="1"/>
  <c r="F26" i="3"/>
  <c r="Z25" i="3"/>
  <c r="W25" i="3"/>
  <c r="U25" i="3"/>
  <c r="R25" i="3"/>
  <c r="M25" i="3"/>
  <c r="S25" i="3" s="1"/>
  <c r="L25" i="3"/>
  <c r="F25" i="3"/>
  <c r="Z24" i="3"/>
  <c r="W24" i="3"/>
  <c r="U24" i="3"/>
  <c r="R24" i="3"/>
  <c r="M24" i="3"/>
  <c r="S24" i="3" s="1"/>
  <c r="L24" i="3"/>
  <c r="F24" i="3"/>
  <c r="Z23" i="3"/>
  <c r="W23" i="3"/>
  <c r="U23" i="3"/>
  <c r="R23" i="3"/>
  <c r="L23" i="3"/>
  <c r="M23" i="3" s="1"/>
  <c r="F23" i="3"/>
  <c r="Z22" i="3"/>
  <c r="W22" i="3"/>
  <c r="U22" i="3"/>
  <c r="R22" i="3"/>
  <c r="M22" i="3"/>
  <c r="L22" i="3"/>
  <c r="F22" i="3"/>
  <c r="AF21" i="3"/>
  <c r="AE21" i="3"/>
  <c r="Z21" i="3"/>
  <c r="W21" i="3"/>
  <c r="U21" i="3"/>
  <c r="R21" i="3"/>
  <c r="M21" i="3"/>
  <c r="S21" i="3" s="1"/>
  <c r="L21" i="3"/>
  <c r="F21" i="3"/>
  <c r="AF20" i="3"/>
  <c r="Z20" i="3"/>
  <c r="W20" i="3"/>
  <c r="U20" i="3"/>
  <c r="R20" i="3"/>
  <c r="L20" i="3"/>
  <c r="M20" i="3" s="1"/>
  <c r="F20" i="3"/>
  <c r="Z19" i="3"/>
  <c r="W19" i="3"/>
  <c r="U19" i="3"/>
  <c r="R19" i="3"/>
  <c r="M19" i="3"/>
  <c r="S19" i="3" s="1"/>
  <c r="L19" i="3"/>
  <c r="F19" i="3"/>
  <c r="Z18" i="3"/>
  <c r="W18" i="3"/>
  <c r="U18" i="3"/>
  <c r="R18" i="3"/>
  <c r="M18" i="3"/>
  <c r="S18" i="3" s="1"/>
  <c r="L18" i="3"/>
  <c r="F18" i="3"/>
  <c r="Z17" i="3"/>
  <c r="W17" i="3"/>
  <c r="U17" i="3"/>
  <c r="R17" i="3"/>
  <c r="L17" i="3"/>
  <c r="M17" i="3" s="1"/>
  <c r="F17" i="3"/>
  <c r="Z16" i="3"/>
  <c r="W16" i="3"/>
  <c r="U16" i="3"/>
  <c r="R16" i="3"/>
  <c r="M16" i="3"/>
  <c r="S16" i="3" s="1"/>
  <c r="L16" i="3"/>
  <c r="F16" i="3"/>
  <c r="Z15" i="3"/>
  <c r="W15" i="3"/>
  <c r="U15" i="3"/>
  <c r="R15" i="3"/>
  <c r="M15" i="3"/>
  <c r="S15" i="3" s="1"/>
  <c r="L15" i="3"/>
  <c r="F15" i="3"/>
  <c r="AF14" i="3"/>
  <c r="Z14" i="3"/>
  <c r="W14" i="3"/>
  <c r="U14" i="3"/>
  <c r="R14" i="3"/>
  <c r="L14" i="3"/>
  <c r="M14" i="3" s="1"/>
  <c r="F14" i="3"/>
  <c r="AF13" i="3"/>
  <c r="Z13" i="3"/>
  <c r="W13" i="3"/>
  <c r="U13" i="3"/>
  <c r="R13" i="3"/>
  <c r="M13" i="3"/>
  <c r="S13" i="3" s="1"/>
  <c r="L13" i="3"/>
  <c r="F13" i="3"/>
  <c r="Z12" i="3"/>
  <c r="W12" i="3"/>
  <c r="U12" i="3"/>
  <c r="R12" i="3"/>
  <c r="M12" i="3"/>
  <c r="S12" i="3" s="1"/>
  <c r="L12" i="3"/>
  <c r="F12" i="3"/>
  <c r="Z11" i="3"/>
  <c r="W11" i="3"/>
  <c r="U11" i="3"/>
  <c r="R11" i="3"/>
  <c r="L11" i="3"/>
  <c r="M11" i="3" s="1"/>
  <c r="F11" i="3"/>
  <c r="AE10" i="3"/>
  <c r="Z10" i="3"/>
  <c r="W10" i="3"/>
  <c r="U10" i="3"/>
  <c r="R10" i="3"/>
  <c r="M10" i="3"/>
  <c r="S10" i="3" s="1"/>
  <c r="L10" i="3"/>
  <c r="F10" i="3"/>
  <c r="Z9" i="3"/>
  <c r="W9" i="3"/>
  <c r="U9" i="3"/>
  <c r="R9" i="3"/>
  <c r="M9" i="3"/>
  <c r="AE9" i="3" s="1"/>
  <c r="L9" i="3"/>
  <c r="F9" i="3"/>
  <c r="Z8" i="3"/>
  <c r="W8" i="3"/>
  <c r="U8" i="3"/>
  <c r="R8" i="3"/>
  <c r="L8" i="3"/>
  <c r="M8" i="3" s="1"/>
  <c r="F8" i="3"/>
  <c r="AF7" i="3"/>
  <c r="AE7" i="3"/>
  <c r="Z7" i="3"/>
  <c r="W7" i="3"/>
  <c r="U7" i="3"/>
  <c r="R7" i="3"/>
  <c r="M7" i="3"/>
  <c r="S7" i="3" s="1"/>
  <c r="L7" i="3"/>
  <c r="F7" i="3"/>
  <c r="AF6" i="3"/>
  <c r="Z6" i="3"/>
  <c r="W6" i="3"/>
  <c r="U6" i="3"/>
  <c r="R6" i="3"/>
  <c r="M6" i="3"/>
  <c r="S6" i="3" s="1"/>
  <c r="L6" i="3"/>
  <c r="F6" i="3"/>
  <c r="AF5" i="3"/>
  <c r="Z5" i="3"/>
  <c r="W5" i="3"/>
  <c r="U5" i="3"/>
  <c r="R5" i="3"/>
  <c r="L5" i="3"/>
  <c r="L35" i="3" s="1"/>
  <c r="L36" i="3" s="1"/>
  <c r="F5" i="3"/>
  <c r="F35" i="3" s="1"/>
  <c r="F36" i="3" s="1"/>
  <c r="AF4" i="3"/>
  <c r="AE4" i="3"/>
  <c r="Z4" i="3"/>
  <c r="W4" i="3"/>
  <c r="U4" i="3"/>
  <c r="U35" i="3" s="1"/>
  <c r="R4" i="3"/>
  <c r="R35" i="3" s="1"/>
  <c r="R36" i="3" s="1"/>
  <c r="M4" i="3"/>
  <c r="L4" i="3"/>
  <c r="F4" i="3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S29" i="3" l="1"/>
  <c r="X16" i="3"/>
  <c r="Y16" i="3" s="1"/>
  <c r="AB16" i="3"/>
  <c r="AB21" i="3"/>
  <c r="X21" i="3"/>
  <c r="Y21" i="3" s="1"/>
  <c r="S4" i="3"/>
  <c r="M35" i="3"/>
  <c r="AB10" i="3"/>
  <c r="X10" i="3"/>
  <c r="Y10" i="3" s="1"/>
  <c r="S22" i="3"/>
  <c r="AB24" i="3"/>
  <c r="X24" i="3"/>
  <c r="Y24" i="3"/>
  <c r="X13" i="3"/>
  <c r="AB13" i="3"/>
  <c r="Y13" i="3"/>
  <c r="S26" i="3"/>
  <c r="S23" i="3"/>
  <c r="AB6" i="3"/>
  <c r="X6" i="3"/>
  <c r="Y6" i="3" s="1"/>
  <c r="AB27" i="3"/>
  <c r="X27" i="3"/>
  <c r="Y27" i="3"/>
  <c r="S11" i="3"/>
  <c r="X31" i="3"/>
  <c r="AB31" i="3"/>
  <c r="Y31" i="3"/>
  <c r="X18" i="3"/>
  <c r="Y18" i="3" s="1"/>
  <c r="AB18" i="3"/>
  <c r="X28" i="3"/>
  <c r="AB28" i="3"/>
  <c r="Y28" i="3"/>
  <c r="U36" i="3"/>
  <c r="AB12" i="3"/>
  <c r="X12" i="3"/>
  <c r="Y12" i="3" s="1"/>
  <c r="AE13" i="3"/>
  <c r="Y15" i="3"/>
  <c r="X15" i="3"/>
  <c r="AB15" i="3"/>
  <c r="AE20" i="3"/>
  <c r="S20" i="3"/>
  <c r="AB30" i="3"/>
  <c r="X30" i="3"/>
  <c r="Y30" i="3"/>
  <c r="S17" i="3"/>
  <c r="AE14" i="3"/>
  <c r="S14" i="3"/>
  <c r="S34" i="3"/>
  <c r="X19" i="3"/>
  <c r="AB19" i="3"/>
  <c r="Y19" i="3"/>
  <c r="AE8" i="3"/>
  <c r="S8" i="3"/>
  <c r="X33" i="3"/>
  <c r="Y33" i="3" s="1"/>
  <c r="AB33" i="3"/>
  <c r="X7" i="3"/>
  <c r="Y7" i="3" s="1"/>
  <c r="AB7" i="3"/>
  <c r="AB25" i="3"/>
  <c r="Y25" i="3"/>
  <c r="X25" i="3"/>
  <c r="AE32" i="3"/>
  <c r="S32" i="3"/>
  <c r="AE31" i="3"/>
  <c r="AE6" i="3"/>
  <c r="AE27" i="3"/>
  <c r="AE25" i="3"/>
  <c r="AE28" i="3"/>
  <c r="M5" i="3"/>
  <c r="AE18" i="3"/>
  <c r="AE33" i="3"/>
  <c r="S9" i="3"/>
  <c r="AA12" i="3" l="1"/>
  <c r="AC12" i="3"/>
  <c r="AC10" i="3"/>
  <c r="AA10" i="3"/>
  <c r="AA7" i="3"/>
  <c r="AD7" i="3" s="1"/>
  <c r="AC7" i="3"/>
  <c r="AA6" i="3"/>
  <c r="AD6" i="3" s="1"/>
  <c r="AC6" i="3"/>
  <c r="AA33" i="3"/>
  <c r="AC33" i="3"/>
  <c r="AA21" i="3"/>
  <c r="AD21" i="3" s="1"/>
  <c r="AC21" i="3"/>
  <c r="AA18" i="3"/>
  <c r="AC18" i="3"/>
  <c r="AC16" i="3"/>
  <c r="AA16" i="3"/>
  <c r="AC31" i="3"/>
  <c r="AA31" i="3"/>
  <c r="X8" i="3"/>
  <c r="Y8" i="3" s="1"/>
  <c r="AB8" i="3"/>
  <c r="AA27" i="3"/>
  <c r="AD27" i="3" s="1"/>
  <c r="AC27" i="3"/>
  <c r="AA28" i="3"/>
  <c r="AD28" i="3" s="1"/>
  <c r="AC28" i="3"/>
  <c r="AC19" i="3"/>
  <c r="AA19" i="3"/>
  <c r="Y20" i="3"/>
  <c r="X20" i="3"/>
  <c r="AB20" i="3"/>
  <c r="X14" i="3"/>
  <c r="Y14" i="3" s="1"/>
  <c r="AB14" i="3"/>
  <c r="Y26" i="3"/>
  <c r="X26" i="3"/>
  <c r="AB26" i="3"/>
  <c r="M36" i="3"/>
  <c r="S35" i="3"/>
  <c r="X4" i="3"/>
  <c r="Y4" i="3" s="1"/>
  <c r="AB4" i="3"/>
  <c r="AC25" i="3"/>
  <c r="AA25" i="3"/>
  <c r="AB32" i="3"/>
  <c r="X32" i="3"/>
  <c r="Y32" i="3" s="1"/>
  <c r="AE5" i="3"/>
  <c r="S5" i="3"/>
  <c r="X34" i="3"/>
  <c r="AB34" i="3"/>
  <c r="Y34" i="3"/>
  <c r="AB22" i="3"/>
  <c r="X22" i="3"/>
  <c r="Y22" i="3" s="1"/>
  <c r="X29" i="3"/>
  <c r="Y29" i="3" s="1"/>
  <c r="AB29" i="3"/>
  <c r="AA15" i="3"/>
  <c r="AC15" i="3"/>
  <c r="AB9" i="3"/>
  <c r="X9" i="3"/>
  <c r="Y9" i="3" s="1"/>
  <c r="Y17" i="3"/>
  <c r="X17" i="3"/>
  <c r="AB17" i="3"/>
  <c r="AA13" i="3"/>
  <c r="AD13" i="3" s="1"/>
  <c r="AC13" i="3"/>
  <c r="AA30" i="3"/>
  <c r="AC30" i="3"/>
  <c r="X11" i="3"/>
  <c r="Y11" i="3" s="1"/>
  <c r="AB11" i="3"/>
  <c r="AA24" i="3"/>
  <c r="AC24" i="3"/>
  <c r="Y23" i="3"/>
  <c r="AB23" i="3"/>
  <c r="X23" i="3"/>
  <c r="AA9" i="3" l="1"/>
  <c r="AC9" i="3"/>
  <c r="AC8" i="3"/>
  <c r="AA8" i="3"/>
  <c r="AA32" i="3"/>
  <c r="AC32" i="3"/>
  <c r="AC14" i="3"/>
  <c r="AA14" i="3"/>
  <c r="AD14" i="3" s="1"/>
  <c r="AC11" i="3"/>
  <c r="AA11" i="3"/>
  <c r="AC29" i="3"/>
  <c r="AA29" i="3"/>
  <c r="AC22" i="3"/>
  <c r="AA22" i="3"/>
  <c r="AC4" i="3"/>
  <c r="AA4" i="3"/>
  <c r="AC26" i="3"/>
  <c r="AA26" i="3"/>
  <c r="AD31" i="3"/>
  <c r="AF31" i="3"/>
  <c r="AC17" i="3"/>
  <c r="AA17" i="3"/>
  <c r="AD16" i="3"/>
  <c r="AF16" i="3"/>
  <c r="AE16" i="3"/>
  <c r="AB35" i="3"/>
  <c r="AB36" i="3" s="1"/>
  <c r="S36" i="3"/>
  <c r="AD19" i="3"/>
  <c r="AF19" i="3"/>
  <c r="AE19" i="3"/>
  <c r="AF15" i="3"/>
  <c r="AD15" i="3"/>
  <c r="AE15" i="3"/>
  <c r="AD25" i="3"/>
  <c r="AF25" i="3"/>
  <c r="AC20" i="3"/>
  <c r="AA20" i="3"/>
  <c r="AD20" i="3" s="1"/>
  <c r="AF24" i="3"/>
  <c r="AD24" i="3"/>
  <c r="AE24" i="3"/>
  <c r="AF30" i="3"/>
  <c r="AD30" i="3"/>
  <c r="AE30" i="3"/>
  <c r="AF33" i="3"/>
  <c r="AD33" i="3"/>
  <c r="AC23" i="3"/>
  <c r="AA23" i="3"/>
  <c r="AC34" i="3"/>
  <c r="AA34" i="3"/>
  <c r="AD10" i="3"/>
  <c r="AF10" i="3"/>
  <c r="X5" i="3"/>
  <c r="Y5" i="3" s="1"/>
  <c r="AB5" i="3"/>
  <c r="AF18" i="3"/>
  <c r="AD18" i="3"/>
  <c r="AF12" i="3"/>
  <c r="AD12" i="3"/>
  <c r="AE12" i="3"/>
  <c r="AC5" i="3" l="1"/>
  <c r="AA5" i="3"/>
  <c r="AD5" i="3" s="1"/>
  <c r="Y35" i="3"/>
  <c r="AD4" i="3"/>
  <c r="AA35" i="3"/>
  <c r="AD32" i="3"/>
  <c r="AF32" i="3"/>
  <c r="AD17" i="3"/>
  <c r="AF17" i="3"/>
  <c r="AE17" i="3"/>
  <c r="AF11" i="3"/>
  <c r="AD11" i="3"/>
  <c r="AE11" i="3"/>
  <c r="AF8" i="3"/>
  <c r="AD8" i="3"/>
  <c r="AF23" i="3"/>
  <c r="AD23" i="3"/>
  <c r="AE23" i="3"/>
  <c r="AD29" i="3"/>
  <c r="AF29" i="3"/>
  <c r="AE29" i="3"/>
  <c r="AF26" i="3"/>
  <c r="AD26" i="3"/>
  <c r="AE26" i="3"/>
  <c r="AD34" i="3"/>
  <c r="AF34" i="3"/>
  <c r="AE34" i="3"/>
  <c r="AD22" i="3"/>
  <c r="AF22" i="3"/>
  <c r="AE22" i="3"/>
  <c r="AF9" i="3"/>
  <c r="AD9" i="3"/>
  <c r="AD35" i="3" l="1"/>
  <c r="AD36" i="3" s="1"/>
  <c r="AA36" i="3"/>
  <c r="AF35" i="3"/>
  <c r="AF36" i="3" s="1"/>
  <c r="AE35" i="3"/>
  <c r="AE36" i="3" s="1"/>
  <c r="AC35" i="3"/>
  <c r="AC36" i="3" s="1"/>
  <c r="Y36" i="3"/>
  <c r="V35" i="2" l="1"/>
  <c r="V36" i="2" s="1"/>
  <c r="U35" i="2"/>
  <c r="U36" i="2" s="1"/>
  <c r="T35" i="2"/>
  <c r="T36" i="2" s="1"/>
  <c r="H35" i="2"/>
  <c r="E35" i="2"/>
  <c r="E36" i="2" s="1"/>
  <c r="D35" i="2"/>
  <c r="D36" i="2" s="1"/>
  <c r="Z33" i="2"/>
  <c r="W33" i="2"/>
  <c r="R33" i="2"/>
  <c r="L33" i="2"/>
  <c r="M33" i="2" s="1"/>
  <c r="F33" i="2"/>
  <c r="Z32" i="2"/>
  <c r="W32" i="2"/>
  <c r="R32" i="2"/>
  <c r="L32" i="2"/>
  <c r="M32" i="2" s="1"/>
  <c r="F32" i="2"/>
  <c r="Z31" i="2"/>
  <c r="W31" i="2"/>
  <c r="R31" i="2"/>
  <c r="L31" i="2"/>
  <c r="M31" i="2" s="1"/>
  <c r="F31" i="2"/>
  <c r="Z30" i="2"/>
  <c r="W30" i="2"/>
  <c r="R30" i="2"/>
  <c r="L30" i="2"/>
  <c r="M30" i="2" s="1"/>
  <c r="F30" i="2"/>
  <c r="Z29" i="2"/>
  <c r="W29" i="2"/>
  <c r="R29" i="2"/>
  <c r="L29" i="2"/>
  <c r="M29" i="2" s="1"/>
  <c r="F29" i="2"/>
  <c r="Z28" i="2"/>
  <c r="W28" i="2"/>
  <c r="R28" i="2"/>
  <c r="L28" i="2"/>
  <c r="M28" i="2" s="1"/>
  <c r="F28" i="2"/>
  <c r="Z27" i="2"/>
  <c r="W27" i="2"/>
  <c r="R27" i="2"/>
  <c r="L27" i="2"/>
  <c r="M27" i="2" s="1"/>
  <c r="F27" i="2"/>
  <c r="Z26" i="2"/>
  <c r="W26" i="2"/>
  <c r="R26" i="2"/>
  <c r="L26" i="2"/>
  <c r="M26" i="2" s="1"/>
  <c r="F26" i="2"/>
  <c r="Z25" i="2"/>
  <c r="W25" i="2"/>
  <c r="R25" i="2"/>
  <c r="L25" i="2"/>
  <c r="M25" i="2" s="1"/>
  <c r="F25" i="2"/>
  <c r="Z24" i="2"/>
  <c r="W24" i="2"/>
  <c r="R24" i="2"/>
  <c r="L24" i="2"/>
  <c r="M24" i="2" s="1"/>
  <c r="F24" i="2"/>
  <c r="Z23" i="2"/>
  <c r="W23" i="2"/>
  <c r="R23" i="2"/>
  <c r="L23" i="2"/>
  <c r="M23" i="2" s="1"/>
  <c r="F23" i="2"/>
  <c r="Z22" i="2"/>
  <c r="W22" i="2"/>
  <c r="R22" i="2"/>
  <c r="L22" i="2"/>
  <c r="M22" i="2" s="1"/>
  <c r="F22" i="2"/>
  <c r="Z21" i="2"/>
  <c r="W21" i="2"/>
  <c r="R21" i="2"/>
  <c r="L21" i="2"/>
  <c r="M21" i="2" s="1"/>
  <c r="F21" i="2"/>
  <c r="Z20" i="2"/>
  <c r="W20" i="2"/>
  <c r="R20" i="2"/>
  <c r="L20" i="2"/>
  <c r="M20" i="2" s="1"/>
  <c r="F20" i="2"/>
  <c r="Z19" i="2"/>
  <c r="W19" i="2"/>
  <c r="R19" i="2"/>
  <c r="L19" i="2"/>
  <c r="M19" i="2" s="1"/>
  <c r="F19" i="2"/>
  <c r="Z18" i="2"/>
  <c r="W18" i="2"/>
  <c r="R18" i="2"/>
  <c r="L18" i="2"/>
  <c r="M18" i="2" s="1"/>
  <c r="F18" i="2"/>
  <c r="Z17" i="2"/>
  <c r="W17" i="2"/>
  <c r="R17" i="2"/>
  <c r="L17" i="2"/>
  <c r="M17" i="2" s="1"/>
  <c r="F17" i="2"/>
  <c r="Z16" i="2"/>
  <c r="W16" i="2"/>
  <c r="R16" i="2"/>
  <c r="L16" i="2"/>
  <c r="M16" i="2" s="1"/>
  <c r="F16" i="2"/>
  <c r="Z15" i="2"/>
  <c r="W15" i="2"/>
  <c r="R15" i="2"/>
  <c r="L15" i="2"/>
  <c r="M15" i="2" s="1"/>
  <c r="F15" i="2"/>
  <c r="Z14" i="2"/>
  <c r="W14" i="2"/>
  <c r="R14" i="2"/>
  <c r="L14" i="2"/>
  <c r="M14" i="2" s="1"/>
  <c r="F14" i="2"/>
  <c r="Z13" i="2"/>
  <c r="W13" i="2"/>
  <c r="R13" i="2"/>
  <c r="L13" i="2"/>
  <c r="M13" i="2" s="1"/>
  <c r="F13" i="2"/>
  <c r="Z12" i="2"/>
  <c r="W12" i="2"/>
  <c r="R12" i="2"/>
  <c r="L12" i="2"/>
  <c r="M12" i="2" s="1"/>
  <c r="F12" i="2"/>
  <c r="Z11" i="2"/>
  <c r="W11" i="2"/>
  <c r="R11" i="2"/>
  <c r="L11" i="2"/>
  <c r="M11" i="2" s="1"/>
  <c r="F11" i="2"/>
  <c r="Z10" i="2"/>
  <c r="W10" i="2"/>
  <c r="R10" i="2"/>
  <c r="L10" i="2"/>
  <c r="M10" i="2" s="1"/>
  <c r="F10" i="2"/>
  <c r="Z9" i="2"/>
  <c r="W9" i="2"/>
  <c r="R9" i="2"/>
  <c r="L9" i="2"/>
  <c r="M9" i="2" s="1"/>
  <c r="F9" i="2"/>
  <c r="Z8" i="2"/>
  <c r="W8" i="2"/>
  <c r="R8" i="2"/>
  <c r="L8" i="2"/>
  <c r="M8" i="2" s="1"/>
  <c r="F8" i="2"/>
  <c r="Z7" i="2"/>
  <c r="W7" i="2"/>
  <c r="R7" i="2"/>
  <c r="L7" i="2"/>
  <c r="M7" i="2" s="1"/>
  <c r="F7" i="2"/>
  <c r="Z6" i="2"/>
  <c r="W6" i="2"/>
  <c r="R6" i="2"/>
  <c r="L6" i="2"/>
  <c r="M6" i="2" s="1"/>
  <c r="F6" i="2"/>
  <c r="Z5" i="2"/>
  <c r="W5" i="2"/>
  <c r="R5" i="2"/>
  <c r="L5" i="2"/>
  <c r="M5" i="2" s="1"/>
  <c r="F5" i="2"/>
  <c r="Z4" i="2"/>
  <c r="W4" i="2"/>
  <c r="R4" i="2"/>
  <c r="L4" i="2"/>
  <c r="M4" i="2" s="1"/>
  <c r="AE4" i="2" s="1"/>
  <c r="F4" i="2"/>
  <c r="H34" i="1"/>
  <c r="V34" i="1"/>
  <c r="V35" i="1" s="1"/>
  <c r="T34" i="1"/>
  <c r="T35" i="1" s="1"/>
  <c r="E34" i="1"/>
  <c r="D34" i="1"/>
  <c r="D35" i="1" s="1"/>
  <c r="Z33" i="1"/>
  <c r="W33" i="1"/>
  <c r="R33" i="1"/>
  <c r="L33" i="1"/>
  <c r="M33" i="1" s="1"/>
  <c r="F33" i="1"/>
  <c r="Z32" i="1"/>
  <c r="W32" i="1"/>
  <c r="R32" i="1"/>
  <c r="L32" i="1"/>
  <c r="M32" i="1" s="1"/>
  <c r="F32" i="1"/>
  <c r="Z31" i="1"/>
  <c r="W31" i="1"/>
  <c r="R31" i="1"/>
  <c r="L31" i="1"/>
  <c r="M31" i="1" s="1"/>
  <c r="F31" i="1"/>
  <c r="Z30" i="1"/>
  <c r="W30" i="1"/>
  <c r="R30" i="1"/>
  <c r="L30" i="1"/>
  <c r="M30" i="1" s="1"/>
  <c r="F30" i="1"/>
  <c r="Z29" i="1"/>
  <c r="W29" i="1"/>
  <c r="R29" i="1"/>
  <c r="L29" i="1"/>
  <c r="M29" i="1" s="1"/>
  <c r="F29" i="1"/>
  <c r="Z28" i="1"/>
  <c r="W28" i="1"/>
  <c r="R28" i="1"/>
  <c r="L28" i="1"/>
  <c r="M28" i="1" s="1"/>
  <c r="F28" i="1"/>
  <c r="Z27" i="1"/>
  <c r="W27" i="1"/>
  <c r="R27" i="1"/>
  <c r="L27" i="1"/>
  <c r="M27" i="1" s="1"/>
  <c r="S27" i="1" s="1"/>
  <c r="AB27" i="1" s="1"/>
  <c r="F27" i="1"/>
  <c r="Z26" i="1"/>
  <c r="W26" i="1"/>
  <c r="R26" i="1"/>
  <c r="L26" i="1"/>
  <c r="M26" i="1" s="1"/>
  <c r="F26" i="1"/>
  <c r="Z25" i="1"/>
  <c r="W25" i="1"/>
  <c r="R25" i="1"/>
  <c r="L25" i="1"/>
  <c r="M25" i="1" s="1"/>
  <c r="F25" i="1"/>
  <c r="Z24" i="1"/>
  <c r="W24" i="1"/>
  <c r="R24" i="1"/>
  <c r="L24" i="1"/>
  <c r="M24" i="1" s="1"/>
  <c r="F24" i="1"/>
  <c r="Z23" i="1"/>
  <c r="W23" i="1"/>
  <c r="R23" i="1"/>
  <c r="L23" i="1"/>
  <c r="M23" i="1" s="1"/>
  <c r="F23" i="1"/>
  <c r="Z22" i="1"/>
  <c r="W22" i="1"/>
  <c r="R22" i="1"/>
  <c r="L22" i="1"/>
  <c r="M22" i="1" s="1"/>
  <c r="F22" i="1"/>
  <c r="Z21" i="1"/>
  <c r="W21" i="1"/>
  <c r="R21" i="1"/>
  <c r="L21" i="1"/>
  <c r="M21" i="1" s="1"/>
  <c r="F21" i="1"/>
  <c r="Z20" i="1"/>
  <c r="W20" i="1"/>
  <c r="R20" i="1"/>
  <c r="L20" i="1"/>
  <c r="M20" i="1" s="1"/>
  <c r="F20" i="1"/>
  <c r="Z19" i="1"/>
  <c r="W19" i="1"/>
  <c r="R19" i="1"/>
  <c r="L19" i="1"/>
  <c r="M19" i="1" s="1"/>
  <c r="F19" i="1"/>
  <c r="Z18" i="1"/>
  <c r="W18" i="1"/>
  <c r="R18" i="1"/>
  <c r="L18" i="1"/>
  <c r="M18" i="1" s="1"/>
  <c r="F18" i="1"/>
  <c r="Z17" i="1"/>
  <c r="W17" i="1"/>
  <c r="R17" i="1"/>
  <c r="L17" i="1"/>
  <c r="M17" i="1" s="1"/>
  <c r="F17" i="1"/>
  <c r="Z16" i="1"/>
  <c r="W16" i="1"/>
  <c r="R16" i="1"/>
  <c r="L16" i="1"/>
  <c r="M16" i="1" s="1"/>
  <c r="F16" i="1"/>
  <c r="Z15" i="1"/>
  <c r="W15" i="1"/>
  <c r="R15" i="1"/>
  <c r="L15" i="1"/>
  <c r="M15" i="1" s="1"/>
  <c r="S15" i="1" s="1"/>
  <c r="AB15" i="1" s="1"/>
  <c r="F15" i="1"/>
  <c r="Z14" i="1"/>
  <c r="W14" i="1"/>
  <c r="R14" i="1"/>
  <c r="L14" i="1"/>
  <c r="M14" i="1" s="1"/>
  <c r="F14" i="1"/>
  <c r="Z13" i="1"/>
  <c r="W13" i="1"/>
  <c r="R13" i="1"/>
  <c r="L13" i="1"/>
  <c r="M13" i="1" s="1"/>
  <c r="F13" i="1"/>
  <c r="Z12" i="1"/>
  <c r="W12" i="1"/>
  <c r="R12" i="1"/>
  <c r="L12" i="1"/>
  <c r="M12" i="1" s="1"/>
  <c r="F12" i="1"/>
  <c r="Z11" i="1"/>
  <c r="W11" i="1"/>
  <c r="R11" i="1"/>
  <c r="L11" i="1"/>
  <c r="M11" i="1" s="1"/>
  <c r="S11" i="1" s="1"/>
  <c r="AB11" i="1" s="1"/>
  <c r="F11" i="1"/>
  <c r="Z10" i="1"/>
  <c r="W10" i="1"/>
  <c r="R10" i="1"/>
  <c r="L10" i="1"/>
  <c r="M10" i="1" s="1"/>
  <c r="F10" i="1"/>
  <c r="Z9" i="1"/>
  <c r="W9" i="1"/>
  <c r="R9" i="1"/>
  <c r="L9" i="1"/>
  <c r="M9" i="1" s="1"/>
  <c r="F9" i="1"/>
  <c r="Z8" i="1"/>
  <c r="W8" i="1"/>
  <c r="R8" i="1"/>
  <c r="L8" i="1"/>
  <c r="M8" i="1" s="1"/>
  <c r="F8" i="1"/>
  <c r="Z7" i="1"/>
  <c r="W7" i="1"/>
  <c r="R7" i="1"/>
  <c r="L7" i="1"/>
  <c r="M7" i="1" s="1"/>
  <c r="F7" i="1"/>
  <c r="Z6" i="1"/>
  <c r="W6" i="1"/>
  <c r="R6" i="1"/>
  <c r="L6" i="1"/>
  <c r="M6" i="1" s="1"/>
  <c r="F6" i="1"/>
  <c r="Z5" i="1"/>
  <c r="W5" i="1"/>
  <c r="R5" i="1"/>
  <c r="L5" i="1"/>
  <c r="M5" i="1" s="1"/>
  <c r="F5" i="1"/>
  <c r="Z4" i="1"/>
  <c r="W4" i="1"/>
  <c r="R4" i="1"/>
  <c r="L4" i="1"/>
  <c r="M4" i="1" s="1"/>
  <c r="F4" i="1"/>
  <c r="E35" i="1" l="1"/>
  <c r="AF34" i="1"/>
  <c r="S19" i="2"/>
  <c r="S4" i="2"/>
  <c r="R35" i="2"/>
  <c r="R36" i="2" s="1"/>
  <c r="S22" i="2"/>
  <c r="S25" i="2"/>
  <c r="S16" i="2"/>
  <c r="AB16" i="2" s="1"/>
  <c r="S7" i="2"/>
  <c r="AB7" i="2" s="1"/>
  <c r="S28" i="2"/>
  <c r="F35" i="2"/>
  <c r="F36" i="2" s="1"/>
  <c r="S13" i="2"/>
  <c r="S10" i="2"/>
  <c r="S31" i="2"/>
  <c r="S9" i="2"/>
  <c r="AB9" i="2" s="1"/>
  <c r="S11" i="2"/>
  <c r="AB11" i="2" s="1"/>
  <c r="S15" i="2"/>
  <c r="AB15" i="2" s="1"/>
  <c r="AE32" i="2"/>
  <c r="S32" i="2"/>
  <c r="AB32" i="2" s="1"/>
  <c r="S17" i="2"/>
  <c r="AB17" i="2" s="1"/>
  <c r="S20" i="2"/>
  <c r="AB20" i="2" s="1"/>
  <c r="S21" i="2"/>
  <c r="AB21" i="2" s="1"/>
  <c r="AE6" i="2"/>
  <c r="S6" i="2"/>
  <c r="AB6" i="2" s="1"/>
  <c r="AE23" i="2"/>
  <c r="S23" i="2"/>
  <c r="AB23" i="2" s="1"/>
  <c r="S24" i="2"/>
  <c r="AB24" i="2" s="1"/>
  <c r="S30" i="2"/>
  <c r="AB30" i="2" s="1"/>
  <c r="S8" i="2"/>
  <c r="AB8" i="2" s="1"/>
  <c r="S27" i="2"/>
  <c r="AB27" i="2" s="1"/>
  <c r="S26" i="2"/>
  <c r="AB26" i="2" s="1"/>
  <c r="AE12" i="2"/>
  <c r="S12" i="2"/>
  <c r="AB12" i="2" s="1"/>
  <c r="S29" i="2"/>
  <c r="AB29" i="2" s="1"/>
  <c r="M35" i="2"/>
  <c r="S5" i="2"/>
  <c r="AB5" i="2" s="1"/>
  <c r="S14" i="2"/>
  <c r="AB14" i="2" s="1"/>
  <c r="S33" i="2"/>
  <c r="AB33" i="2" s="1"/>
  <c r="S18" i="2"/>
  <c r="AB18" i="2" s="1"/>
  <c r="L35" i="2"/>
  <c r="L36" i="2" s="1"/>
  <c r="S17" i="1"/>
  <c r="AB17" i="1" s="1"/>
  <c r="S29" i="1"/>
  <c r="AB29" i="1" s="1"/>
  <c r="F34" i="1"/>
  <c r="F35" i="1" s="1"/>
  <c r="S23" i="1"/>
  <c r="AB23" i="1" s="1"/>
  <c r="S5" i="1"/>
  <c r="AB5" i="1" s="1"/>
  <c r="U34" i="1"/>
  <c r="U35" i="1" s="1"/>
  <c r="S8" i="1"/>
  <c r="AB8" i="1" s="1"/>
  <c r="R34" i="1"/>
  <c r="R35" i="1" s="1"/>
  <c r="S14" i="1"/>
  <c r="AB14" i="1" s="1"/>
  <c r="S18" i="1"/>
  <c r="AB18" i="1" s="1"/>
  <c r="S20" i="1"/>
  <c r="S24" i="1"/>
  <c r="AB24" i="1" s="1"/>
  <c r="S26" i="1"/>
  <c r="AB26" i="1" s="1"/>
  <c r="S32" i="1"/>
  <c r="M34" i="1"/>
  <c r="S4" i="1"/>
  <c r="AB4" i="1" s="1"/>
  <c r="S16" i="1"/>
  <c r="AB16" i="1" s="1"/>
  <c r="X11" i="1"/>
  <c r="Y11" i="1" s="1"/>
  <c r="AC11" i="1" s="1"/>
  <c r="S13" i="1"/>
  <c r="AB13" i="1" s="1"/>
  <c r="S25" i="1"/>
  <c r="AB25" i="1" s="1"/>
  <c r="S28" i="1"/>
  <c r="AB28" i="1" s="1"/>
  <c r="X27" i="1"/>
  <c r="Y27" i="1" s="1"/>
  <c r="AC27" i="1" s="1"/>
  <c r="S7" i="1"/>
  <c r="AB7" i="1" s="1"/>
  <c r="S10" i="1"/>
  <c r="AB10" i="1" s="1"/>
  <c r="X15" i="1"/>
  <c r="Y15" i="1" s="1"/>
  <c r="AC15" i="1" s="1"/>
  <c r="S22" i="1"/>
  <c r="AB22" i="1" s="1"/>
  <c r="X17" i="1"/>
  <c r="Y17" i="1" s="1"/>
  <c r="AC17" i="1" s="1"/>
  <c r="X29" i="1"/>
  <c r="Y29" i="1" s="1"/>
  <c r="AC29" i="1" s="1"/>
  <c r="S19" i="1"/>
  <c r="AB19" i="1" s="1"/>
  <c r="AE31" i="1"/>
  <c r="S31" i="1"/>
  <c r="AB31" i="1" s="1"/>
  <c r="S30" i="1"/>
  <c r="AB30" i="1" s="1"/>
  <c r="S6" i="1"/>
  <c r="AB6" i="1" s="1"/>
  <c r="S12" i="1"/>
  <c r="AB12" i="1" s="1"/>
  <c r="S33" i="1"/>
  <c r="AB33" i="1" s="1"/>
  <c r="S9" i="1"/>
  <c r="AB9" i="1" s="1"/>
  <c r="S21" i="1"/>
  <c r="AB21" i="1" s="1"/>
  <c r="L34" i="1"/>
  <c r="L35" i="1" s="1"/>
  <c r="X31" i="2" l="1"/>
  <c r="AB31" i="2"/>
  <c r="X4" i="2"/>
  <c r="Y4" i="2" s="1"/>
  <c r="AC4" i="2" s="1"/>
  <c r="AB4" i="2"/>
  <c r="X13" i="2"/>
  <c r="AB13" i="2"/>
  <c r="X22" i="2"/>
  <c r="Y22" i="2" s="1"/>
  <c r="AC22" i="2" s="1"/>
  <c r="AB22" i="2"/>
  <c r="X19" i="2"/>
  <c r="Y19" i="2" s="1"/>
  <c r="AC19" i="2" s="1"/>
  <c r="AB19" i="2"/>
  <c r="X10" i="2"/>
  <c r="Y10" i="2" s="1"/>
  <c r="AC10" i="2" s="1"/>
  <c r="AB10" i="2"/>
  <c r="X25" i="2"/>
  <c r="AB25" i="2"/>
  <c r="X28" i="2"/>
  <c r="AB28" i="2"/>
  <c r="X32" i="1"/>
  <c r="Y32" i="1" s="1"/>
  <c r="AC32" i="1" s="1"/>
  <c r="AB32" i="1"/>
  <c r="X24" i="1"/>
  <c r="Y24" i="1" s="1"/>
  <c r="AC24" i="1" s="1"/>
  <c r="X23" i="1"/>
  <c r="Y23" i="1" s="1"/>
  <c r="AC23" i="1" s="1"/>
  <c r="X20" i="1"/>
  <c r="Y20" i="1" s="1"/>
  <c r="AC20" i="1" s="1"/>
  <c r="AB20" i="1"/>
  <c r="X16" i="2"/>
  <c r="Y16" i="2" s="1"/>
  <c r="AC16" i="2" s="1"/>
  <c r="X7" i="2"/>
  <c r="Y7" i="2" s="1"/>
  <c r="AC7" i="2" s="1"/>
  <c r="Y25" i="2"/>
  <c r="AC25" i="2" s="1"/>
  <c r="Y13" i="2"/>
  <c r="AC13" i="2" s="1"/>
  <c r="S35" i="2"/>
  <c r="Y28" i="2"/>
  <c r="Y31" i="2"/>
  <c r="AC31" i="2" s="1"/>
  <c r="AA4" i="2"/>
  <c r="AD4" i="2" s="1"/>
  <c r="AA10" i="2"/>
  <c r="AD10" i="2" s="1"/>
  <c r="X24" i="2"/>
  <c r="Y24" i="2" s="1"/>
  <c r="AC24" i="2" s="1"/>
  <c r="X14" i="2"/>
  <c r="Y14" i="2" s="1"/>
  <c r="AC14" i="2" s="1"/>
  <c r="X12" i="2"/>
  <c r="Y12" i="2" s="1"/>
  <c r="AC12" i="2" s="1"/>
  <c r="X17" i="2"/>
  <c r="Y17" i="2" s="1"/>
  <c r="AC17" i="2" s="1"/>
  <c r="X33" i="2"/>
  <c r="Y33" i="2" s="1"/>
  <c r="AC33" i="2" s="1"/>
  <c r="X8" i="2"/>
  <c r="Y8" i="2" s="1"/>
  <c r="AC8" i="2" s="1"/>
  <c r="X23" i="2"/>
  <c r="Y23" i="2" s="1"/>
  <c r="AC23" i="2" s="1"/>
  <c r="X11" i="2"/>
  <c r="Y11" i="2" s="1"/>
  <c r="AC11" i="2" s="1"/>
  <c r="X20" i="2"/>
  <c r="Y20" i="2" s="1"/>
  <c r="AC20" i="2" s="1"/>
  <c r="X30" i="2"/>
  <c r="Y30" i="2" s="1"/>
  <c r="AC30" i="2" s="1"/>
  <c r="X6" i="2"/>
  <c r="Y6" i="2" s="1"/>
  <c r="AC6" i="2" s="1"/>
  <c r="X26" i="2"/>
  <c r="Y26" i="2" s="1"/>
  <c r="AC26" i="2" s="1"/>
  <c r="M36" i="2"/>
  <c r="X32" i="2"/>
  <c r="Y32" i="2" s="1"/>
  <c r="AC32" i="2" s="1"/>
  <c r="X5" i="2"/>
  <c r="Y5" i="2" s="1"/>
  <c r="AC5" i="2" s="1"/>
  <c r="X18" i="2"/>
  <c r="Y18" i="2" s="1"/>
  <c r="AC18" i="2" s="1"/>
  <c r="X29" i="2"/>
  <c r="Y29" i="2" s="1"/>
  <c r="AC29" i="2" s="1"/>
  <c r="X9" i="2"/>
  <c r="Y9" i="2" s="1"/>
  <c r="AC9" i="2" s="1"/>
  <c r="X15" i="2"/>
  <c r="Y15" i="2" s="1"/>
  <c r="AC15" i="2" s="1"/>
  <c r="X27" i="2"/>
  <c r="Y27" i="2" s="1"/>
  <c r="AC27" i="2" s="1"/>
  <c r="X21" i="2"/>
  <c r="Y21" i="2" s="1"/>
  <c r="AC21" i="2" s="1"/>
  <c r="X5" i="1"/>
  <c r="Y5" i="1" s="1"/>
  <c r="AC5" i="1" s="1"/>
  <c r="X8" i="1"/>
  <c r="Y8" i="1" s="1"/>
  <c r="AC8" i="1" s="1"/>
  <c r="X14" i="1"/>
  <c r="Y14" i="1" s="1"/>
  <c r="AC14" i="1" s="1"/>
  <c r="X26" i="1"/>
  <c r="Y26" i="1" s="1"/>
  <c r="AC26" i="1" s="1"/>
  <c r="X18" i="1"/>
  <c r="Y18" i="1" s="1"/>
  <c r="AC18" i="1" s="1"/>
  <c r="AA29" i="1"/>
  <c r="AD29" i="1" s="1"/>
  <c r="AA17" i="1"/>
  <c r="AD17" i="1" s="1"/>
  <c r="AA11" i="1"/>
  <c r="AD11" i="1" s="1"/>
  <c r="AA24" i="1"/>
  <c r="AD24" i="1" s="1"/>
  <c r="X30" i="1"/>
  <c r="Y30" i="1" s="1"/>
  <c r="AC30" i="1" s="1"/>
  <c r="X28" i="1"/>
  <c r="Y28" i="1" s="1"/>
  <c r="AC28" i="1" s="1"/>
  <c r="AA20" i="1"/>
  <c r="AD20" i="1" s="1"/>
  <c r="X10" i="1"/>
  <c r="Y10" i="1" s="1"/>
  <c r="AC10" i="1" s="1"/>
  <c r="AA27" i="1"/>
  <c r="AD27" i="1" s="1"/>
  <c r="X6" i="1"/>
  <c r="Y6" i="1" s="1"/>
  <c r="AC6" i="1" s="1"/>
  <c r="X21" i="1"/>
  <c r="Y21" i="1" s="1"/>
  <c r="AC21" i="1" s="1"/>
  <c r="X25" i="1"/>
  <c r="Y25" i="1" s="1"/>
  <c r="AC25" i="1" s="1"/>
  <c r="X33" i="1"/>
  <c r="Y33" i="1" s="1"/>
  <c r="AC33" i="1" s="1"/>
  <c r="X12" i="1"/>
  <c r="Y12" i="1" s="1"/>
  <c r="AC12" i="1" s="1"/>
  <c r="X31" i="1"/>
  <c r="Y31" i="1" s="1"/>
  <c r="AC31" i="1" s="1"/>
  <c r="X9" i="1"/>
  <c r="Y9" i="1" s="1"/>
  <c r="AC9" i="1" s="1"/>
  <c r="X16" i="1"/>
  <c r="Y16" i="1" s="1"/>
  <c r="AC16" i="1" s="1"/>
  <c r="X7" i="1"/>
  <c r="Y7" i="1" s="1"/>
  <c r="AC7" i="1" s="1"/>
  <c r="AA32" i="1"/>
  <c r="AA15" i="1"/>
  <c r="AD15" i="1" s="1"/>
  <c r="AA14" i="1"/>
  <c r="AD14" i="1" s="1"/>
  <c r="X4" i="1"/>
  <c r="Y4" i="1" s="1"/>
  <c r="AC4" i="1" s="1"/>
  <c r="S34" i="1"/>
  <c r="AB34" i="1" s="1"/>
  <c r="AB35" i="1" s="1"/>
  <c r="X19" i="1"/>
  <c r="Y19" i="1" s="1"/>
  <c r="AC19" i="1" s="1"/>
  <c r="X22" i="1"/>
  <c r="Y22" i="1" s="1"/>
  <c r="AC22" i="1" s="1"/>
  <c r="X13" i="1"/>
  <c r="Y13" i="1" s="1"/>
  <c r="AC13" i="1" s="1"/>
  <c r="M35" i="1"/>
  <c r="AA22" i="2" l="1"/>
  <c r="AA28" i="2"/>
  <c r="AD28" i="2" s="1"/>
  <c r="AC28" i="2"/>
  <c r="S36" i="2"/>
  <c r="AB35" i="2"/>
  <c r="AB36" i="2" s="1"/>
  <c r="AA19" i="2"/>
  <c r="AD19" i="2" s="1"/>
  <c r="AA8" i="1"/>
  <c r="AH8" i="1" s="1"/>
  <c r="AA18" i="1"/>
  <c r="AE32" i="1"/>
  <c r="AD32" i="1"/>
  <c r="AA23" i="1"/>
  <c r="AD23" i="1" s="1"/>
  <c r="AA25" i="2"/>
  <c r="AD25" i="2" s="1"/>
  <c r="AA16" i="2"/>
  <c r="AA13" i="2"/>
  <c r="AA7" i="2"/>
  <c r="AA31" i="2"/>
  <c r="AA33" i="2"/>
  <c r="AD33" i="2" s="1"/>
  <c r="AA17" i="2"/>
  <c r="AA18" i="2"/>
  <c r="AD18" i="2" s="1"/>
  <c r="AA11" i="2"/>
  <c r="AA30" i="2"/>
  <c r="AD30" i="2" s="1"/>
  <c r="AA32" i="2"/>
  <c r="AD32" i="2" s="1"/>
  <c r="AA20" i="2"/>
  <c r="AD20" i="2" s="1"/>
  <c r="AA29" i="2"/>
  <c r="AD29" i="2" s="1"/>
  <c r="AA26" i="2"/>
  <c r="AD26" i="2" s="1"/>
  <c r="AA12" i="2"/>
  <c r="AD12" i="2" s="1"/>
  <c r="AA27" i="2"/>
  <c r="AD27" i="2" s="1"/>
  <c r="AA14" i="2"/>
  <c r="AD14" i="2" s="1"/>
  <c r="AA5" i="2"/>
  <c r="AD5" i="2" s="1"/>
  <c r="Y35" i="2"/>
  <c r="AC35" i="2" s="1"/>
  <c r="AC36" i="2" s="1"/>
  <c r="AA15" i="2"/>
  <c r="AD15" i="2" s="1"/>
  <c r="AA6" i="2"/>
  <c r="AD6" i="2" s="1"/>
  <c r="AA24" i="2"/>
  <c r="AD24" i="2" s="1"/>
  <c r="AA23" i="2"/>
  <c r="AD23" i="2" s="1"/>
  <c r="AA8" i="2"/>
  <c r="AD8" i="2" s="1"/>
  <c r="AF10" i="2"/>
  <c r="AE10" i="2"/>
  <c r="AA21" i="2"/>
  <c r="AF22" i="2"/>
  <c r="AF4" i="2"/>
  <c r="AF19" i="2"/>
  <c r="AE19" i="2"/>
  <c r="AF28" i="2"/>
  <c r="AE28" i="2"/>
  <c r="AA9" i="2"/>
  <c r="AD9" i="2" s="1"/>
  <c r="AA26" i="1"/>
  <c r="AA5" i="1"/>
  <c r="AD5" i="1" s="1"/>
  <c r="AH14" i="1"/>
  <c r="AE14" i="1"/>
  <c r="AH20" i="1"/>
  <c r="AE20" i="1"/>
  <c r="AH27" i="1"/>
  <c r="AE27" i="1"/>
  <c r="AA28" i="1"/>
  <c r="AD28" i="1" s="1"/>
  <c r="AA13" i="1"/>
  <c r="AD13" i="1" s="1"/>
  <c r="Y34" i="1"/>
  <c r="AC34" i="1" s="1"/>
  <c r="AC35" i="1" s="1"/>
  <c r="AA4" i="1"/>
  <c r="AD4" i="1" s="1"/>
  <c r="AA21" i="1"/>
  <c r="AD21" i="1" s="1"/>
  <c r="AA6" i="1"/>
  <c r="AD6" i="1" s="1"/>
  <c r="AA19" i="1"/>
  <c r="AD19" i="1" s="1"/>
  <c r="AA25" i="1"/>
  <c r="AA7" i="1"/>
  <c r="AD7" i="1" s="1"/>
  <c r="AA16" i="1"/>
  <c r="AD16" i="1" s="1"/>
  <c r="AH29" i="1"/>
  <c r="AE29" i="1"/>
  <c r="AA30" i="1"/>
  <c r="AD30" i="1" s="1"/>
  <c r="AH24" i="1"/>
  <c r="AE24" i="1"/>
  <c r="AH18" i="1"/>
  <c r="AA22" i="1"/>
  <c r="AD22" i="1" s="1"/>
  <c r="AA9" i="1"/>
  <c r="AH17" i="1"/>
  <c r="AE17" i="1"/>
  <c r="AH32" i="1"/>
  <c r="AA12" i="1"/>
  <c r="AD12" i="1" s="1"/>
  <c r="S35" i="1"/>
  <c r="AA31" i="1"/>
  <c r="AD31" i="1" s="1"/>
  <c r="AA33" i="1"/>
  <c r="AA10" i="1"/>
  <c r="AH11" i="1"/>
  <c r="AE11" i="1"/>
  <c r="AH23" i="1"/>
  <c r="AE23" i="1"/>
  <c r="AH15" i="1"/>
  <c r="AE15" i="1"/>
  <c r="AE25" i="2" l="1"/>
  <c r="AE17" i="2"/>
  <c r="AD17" i="2"/>
  <c r="AE16" i="2"/>
  <c r="AD16" i="2"/>
  <c r="AF25" i="2"/>
  <c r="AE7" i="2"/>
  <c r="AD7" i="2"/>
  <c r="AE21" i="2"/>
  <c r="AD21" i="2"/>
  <c r="AF13" i="2"/>
  <c r="AD13" i="2"/>
  <c r="AE11" i="2"/>
  <c r="AD11" i="2"/>
  <c r="AE31" i="2"/>
  <c r="AD31" i="2"/>
  <c r="AE22" i="2"/>
  <c r="AD22" i="2"/>
  <c r="AE26" i="1"/>
  <c r="AD26" i="1"/>
  <c r="AH5" i="1"/>
  <c r="AE25" i="1"/>
  <c r="AD25" i="1"/>
  <c r="AE10" i="1"/>
  <c r="AD10" i="1"/>
  <c r="AH26" i="1"/>
  <c r="AE5" i="1"/>
  <c r="AE18" i="1"/>
  <c r="AD18" i="1"/>
  <c r="AE33" i="1"/>
  <c r="AD33" i="1"/>
  <c r="AE9" i="1"/>
  <c r="AD9" i="1"/>
  <c r="AE8" i="1"/>
  <c r="AD8" i="1"/>
  <c r="AF31" i="2"/>
  <c r="AE13" i="2"/>
  <c r="AF16" i="2"/>
  <c r="AF7" i="2"/>
  <c r="AF29" i="2"/>
  <c r="AE29" i="2"/>
  <c r="AF9" i="2"/>
  <c r="AE9" i="2"/>
  <c r="AF17" i="2"/>
  <c r="AF15" i="2"/>
  <c r="AE15" i="2"/>
  <c r="AF27" i="2"/>
  <c r="AE27" i="2"/>
  <c r="AF30" i="2"/>
  <c r="AE30" i="2"/>
  <c r="Y36" i="2"/>
  <c r="AF21" i="2"/>
  <c r="AF24" i="2"/>
  <c r="AE24" i="2"/>
  <c r="AF11" i="2"/>
  <c r="AF32" i="2"/>
  <c r="AF12" i="2"/>
  <c r="AF8" i="2"/>
  <c r="AE8" i="2"/>
  <c r="AF14" i="2"/>
  <c r="AE14" i="2"/>
  <c r="AF23" i="2"/>
  <c r="AF6" i="2"/>
  <c r="AF26" i="2"/>
  <c r="AE26" i="2"/>
  <c r="AA35" i="2"/>
  <c r="AD35" i="2" s="1"/>
  <c r="AD36" i="2" s="1"/>
  <c r="AF18" i="2"/>
  <c r="AE18" i="2"/>
  <c r="AF5" i="2"/>
  <c r="AE5" i="2"/>
  <c r="AF20" i="2"/>
  <c r="AE20" i="2"/>
  <c r="AF33" i="2"/>
  <c r="AE33" i="2"/>
  <c r="AH6" i="1"/>
  <c r="AE6" i="1"/>
  <c r="AH21" i="1"/>
  <c r="AE21" i="1"/>
  <c r="AH4" i="1"/>
  <c r="AE4" i="1"/>
  <c r="AH7" i="1"/>
  <c r="AE7" i="1"/>
  <c r="AH13" i="1"/>
  <c r="AE13" i="1"/>
  <c r="AH28" i="1"/>
  <c r="AE28" i="1"/>
  <c r="AH30" i="1"/>
  <c r="AE30" i="1"/>
  <c r="AA34" i="1"/>
  <c r="AD34" i="1" s="1"/>
  <c r="AD35" i="1" s="1"/>
  <c r="AH10" i="1"/>
  <c r="AH22" i="1"/>
  <c r="AE22" i="1"/>
  <c r="AH19" i="1"/>
  <c r="AE19" i="1"/>
  <c r="AH33" i="1"/>
  <c r="AH31" i="1"/>
  <c r="Y35" i="1"/>
  <c r="AH25" i="1"/>
  <c r="AH9" i="1"/>
  <c r="AH16" i="1"/>
  <c r="AE16" i="1"/>
  <c r="AH12" i="1"/>
  <c r="AE12" i="1"/>
  <c r="AA36" i="2" l="1"/>
  <c r="AF35" i="2"/>
  <c r="AF36" i="2" s="1"/>
  <c r="AE35" i="2"/>
  <c r="AA35" i="1"/>
  <c r="AH34" i="1"/>
  <c r="AH35" i="1" s="1"/>
  <c r="AE34" i="1"/>
  <c r="AG34" i="1" s="1"/>
  <c r="AE36" i="2" l="1"/>
  <c r="AE35" i="1"/>
</calcChain>
</file>

<file path=xl/sharedStrings.xml><?xml version="1.0" encoding="utf-8"?>
<sst xmlns="http://schemas.openxmlformats.org/spreadsheetml/2006/main" count="287" uniqueCount="85">
  <si>
    <t>SAISIE JOURNALIÈRE – TRS GÉLULEUSE | NF E 60-182 – Janv 2026</t>
  </si>
  <si>
    <t>Date</t>
  </si>
  <si>
    <t>Produit</t>
  </si>
  <si>
    <t>N° Lot</t>
  </si>
  <si>
    <t>tT
(min)</t>
  </si>
  <si>
    <t>tO
(min)</t>
  </si>
  <si>
    <t>Fermeture
(min)</t>
  </si>
  <si>
    <t>Cadence (gélule / min)</t>
  </si>
  <si>
    <t>Arrêts Plannifiés
(min)</t>
  </si>
  <si>
    <t>tR
(min)</t>
  </si>
  <si>
    <t>Arrêts non plannifiés
(min)</t>
  </si>
  <si>
    <t>tF
(min)</t>
  </si>
  <si>
    <t>NPR
(gélules)</t>
  </si>
  <si>
    <t>NPB
(gélules)</t>
  </si>
  <si>
    <t>NPC
(gélules)</t>
  </si>
  <si>
    <t>Tct</t>
  </si>
  <si>
    <t>Ecart Cadence</t>
  </si>
  <si>
    <t>tN
(min)</t>
  </si>
  <si>
    <t>Non Qualité</t>
  </si>
  <si>
    <t>tU
(min)</t>
  </si>
  <si>
    <t>DO</t>
  </si>
  <si>
    <t>TP</t>
  </si>
  <si>
    <t>TQ</t>
  </si>
  <si>
    <t>TRS</t>
  </si>
  <si>
    <t>TRG</t>
  </si>
  <si>
    <t>Commentaire</t>
  </si>
  <si>
    <t>Temps Total</t>
  </si>
  <si>
    <t>Temps Ouverture</t>
  </si>
  <si>
    <t>tT-tO</t>
  </si>
  <si>
    <t xml:space="preserve">Pause </t>
  </si>
  <si>
    <t xml:space="preserve">CHSG </t>
  </si>
  <si>
    <t>APR</t>
  </si>
  <si>
    <t>MQCH</t>
  </si>
  <si>
    <t>tAP</t>
  </si>
  <si>
    <t>Temps Requis</t>
  </si>
  <si>
    <t xml:space="preserve">AG </t>
  </si>
  <si>
    <t>AI</t>
  </si>
  <si>
    <t xml:space="preserve">utilité et environnement </t>
  </si>
  <si>
    <t>IM</t>
  </si>
  <si>
    <t>tAI</t>
  </si>
  <si>
    <t>Temps Fonct.</t>
  </si>
  <si>
    <t>Qté réalisée</t>
  </si>
  <si>
    <t>Qté bonne</t>
  </si>
  <si>
    <t>Non conforme</t>
  </si>
  <si>
    <t>Temps  théorique</t>
  </si>
  <si>
    <t>Temps Net calc.</t>
  </si>
  <si>
    <t>Temps Utile calc.</t>
  </si>
  <si>
    <t>Disp. Opérationnelle</t>
  </si>
  <si>
    <t>Taux Performance</t>
  </si>
  <si>
    <t>Taux Qualité</t>
  </si>
  <si>
    <t>Résultat</t>
  </si>
  <si>
    <t>Commentaire source</t>
  </si>
  <si>
    <t>jour férié</t>
  </si>
  <si>
    <t>Week-end</t>
  </si>
  <si>
    <t>AI: Pas d'activité (jours non planifiés) : pas de stock  MF</t>
  </si>
  <si>
    <t>Aeronide 200µg</t>
  </si>
  <si>
    <t>AG : Bouchage au niveau segment 3 + 4 + 5 (Durée d'arret = 0,36h)</t>
  </si>
  <si>
    <t>**</t>
  </si>
  <si>
    <t xml:space="preserve">AI : Absence résultat eau PPI (CQ) : 4,5 h </t>
  </si>
  <si>
    <t>AG : Bouchage au niveau segment 10 + 5 (Durée d'arret = 1,23h)</t>
  </si>
  <si>
    <t>AG : Bouchage au niveau segment 10 + 5 (Durée d'arret = 0,51h)</t>
  </si>
  <si>
    <t xml:space="preserve">N,majeur +complet </t>
  </si>
  <si>
    <t xml:space="preserve">Aeronide 400µg </t>
  </si>
  <si>
    <t>AG : Bouchage au niveau segment 4 (Durée d'arret = 0,35h)</t>
  </si>
  <si>
    <t>Aeronide 400µg</t>
  </si>
  <si>
    <t>Pas d'activité : NC N°18981 + sortie 15h (condition météorologique)</t>
  </si>
  <si>
    <t>Pas d'activité : Journéee non planifiée (planning)</t>
  </si>
  <si>
    <t>IM : Panne géluleuse : Réparation du problème de vide au niveau de la station n°5 DI N° 00009259</t>
  </si>
  <si>
    <t xml:space="preserve">N,majeur </t>
  </si>
  <si>
    <t xml:space="preserve">APR :Validation nettoyage </t>
  </si>
  <si>
    <t>TOTAL MOIS</t>
  </si>
  <si>
    <t>Calculé sur les totaux</t>
  </si>
  <si>
    <t>TOTAL MOIS (heures)</t>
  </si>
  <si>
    <t>Temps convertis en heures</t>
  </si>
  <si>
    <t>Aerofor 12µg</t>
  </si>
  <si>
    <t>HS</t>
  </si>
  <si>
    <t xml:space="preserve">25004 (9069)    /  25005(286614)               </t>
  </si>
  <si>
    <t xml:space="preserve">25005 (54970)      25006(252221)         </t>
  </si>
  <si>
    <t xml:space="preserve">25006 (96694)      25007(245535)     </t>
  </si>
  <si>
    <t>25010(64830)        25011(250711)</t>
  </si>
  <si>
    <t>25011 (95230)                      25012 (172863)</t>
  </si>
  <si>
    <t xml:space="preserve">25007 (131271)      25008(280509)     </t>
  </si>
  <si>
    <t xml:space="preserve">25008 (69802)      25009(351757)     </t>
  </si>
  <si>
    <t>25011(353451)                25012(101344)</t>
  </si>
  <si>
    <t>25013 (56983)              25014(353609)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</si>
</sst>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Times New Roman"/>
      <charset val="1"/>
    </font>
    <font>
      <b/>
      <sz val="10"/>
      <color rgb="FFFFFFFF"/>
      <name val="Times New Roman"/>
      <charset val="1"/>
    </font>
    <font>
      <b/>
      <sz val="9"/>
      <color rgb="FFFFFFFF"/>
      <name val="Times New Roman"/>
      <family val="1"/>
    </font>
    <font>
      <b/>
      <sz val="10"/>
      <color rgb="FFFFFFFF"/>
      <name val="Times New Roman"/>
      <family val="1"/>
    </font>
    <font>
      <i/>
      <sz val="8"/>
      <color rgb="FF595959"/>
      <name val="Times New Roman"/>
      <charset val="1"/>
    </font>
    <font>
      <sz val="10"/>
      <color rgb="FF1F4E79"/>
      <name val="Times New Roman"/>
      <charset val="1"/>
    </font>
    <font>
      <sz val="10"/>
      <color rgb="FF1F1F1F"/>
      <name val="Times New Roman"/>
      <charset val="1"/>
    </font>
    <font>
      <sz val="11"/>
      <color rgb="FF1F4E79"/>
      <name val="Calibri"/>
      <family val="2"/>
      <charset val="1"/>
    </font>
    <font>
      <sz val="11"/>
      <color rgb="FF1F4E79"/>
      <name val="Calibri"/>
      <family val="2"/>
      <scheme val="minor"/>
    </font>
    <font>
      <sz val="10"/>
      <color rgb="FF0000FF"/>
      <name val="Times New Roman"/>
      <charset val="1"/>
    </font>
    <font>
      <sz val="10"/>
      <color rgb="FF000000"/>
      <name val="Times New Roman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  <scheme val="minor"/>
    </font>
    <font>
      <b/>
      <sz val="10"/>
      <color rgb="FF1F1F1F"/>
      <name val="Times New Roman"/>
      <charset val="1"/>
    </font>
    <font>
      <b/>
      <sz val="13"/>
      <color rgb="FFFFFFFF"/>
      <name val="Times New Roman"/>
      <family val="1"/>
    </font>
    <font>
      <i/>
      <sz val="8"/>
      <color rgb="FF595959"/>
      <name val="Times New Roman"/>
      <family val="1"/>
    </font>
    <font>
      <sz val="10"/>
      <color rgb="FF1F4E79"/>
      <name val="Times New Roman"/>
      <family val="1"/>
    </font>
    <font>
      <sz val="10"/>
      <color rgb="FF1F1F1F"/>
      <name val="Times New Roman"/>
      <family val="1"/>
    </font>
    <font>
      <sz val="10"/>
      <color rgb="FF0000FF"/>
      <name val="Times New Roman"/>
      <family val="1"/>
    </font>
    <font>
      <sz val="10"/>
      <color rgb="FF000000"/>
      <name val="Times New Roman"/>
      <family val="1"/>
    </font>
    <font>
      <b/>
      <sz val="10"/>
      <color rgb="FF1F1F1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EA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3" fillId="2" borderId="0" xfId="2" applyFont="1" applyFill="1" applyAlignment="1">
      <alignment horizontal="center" vertical="center" wrapText="1"/>
    </xf>
    <xf numFmtId="0" fontId="2" fillId="0" borderId="0" xfId="2"/>
    <xf numFmtId="0" fontId="4" fillId="3" borderId="0" xfId="2" applyFont="1" applyFill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  <xf numFmtId="0" fontId="6" fillId="3" borderId="0" xfId="2" applyFont="1" applyFill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16" fontId="8" fillId="5" borderId="1" xfId="2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64" fontId="8" fillId="5" borderId="1" xfId="2" applyNumberFormat="1" applyFont="1" applyFill="1" applyBorder="1" applyAlignment="1">
      <alignment horizontal="center" vertical="center"/>
    </xf>
    <xf numFmtId="3" fontId="8" fillId="5" borderId="1" xfId="2" applyNumberFormat="1" applyFont="1" applyFill="1" applyBorder="1" applyAlignment="1">
      <alignment horizontal="center" vertical="center"/>
    </xf>
    <xf numFmtId="164" fontId="8" fillId="5" borderId="1" xfId="2" applyNumberFormat="1" applyFont="1" applyFill="1" applyBorder="1"/>
    <xf numFmtId="165" fontId="8" fillId="5" borderId="1" xfId="2" applyNumberFormat="1" applyFont="1" applyFill="1" applyBorder="1"/>
    <xf numFmtId="165" fontId="9" fillId="6" borderId="2" xfId="2" applyNumberFormat="1" applyFont="1" applyFill="1" applyBorder="1"/>
    <xf numFmtId="165" fontId="10" fillId="5" borderId="3" xfId="2" applyNumberFormat="1" applyFont="1" applyFill="1" applyBorder="1"/>
    <xf numFmtId="0" fontId="11" fillId="5" borderId="3" xfId="0" applyFont="1" applyFill="1" applyBorder="1" applyAlignment="1">
      <alignment wrapText="1"/>
    </xf>
    <xf numFmtId="16" fontId="12" fillId="5" borderId="1" xfId="2" applyNumberFormat="1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164" fontId="12" fillId="7" borderId="1" xfId="2" applyNumberFormat="1" applyFont="1" applyFill="1" applyBorder="1" applyAlignment="1">
      <alignment horizontal="center" vertical="center"/>
    </xf>
    <xf numFmtId="164" fontId="13" fillId="7" borderId="1" xfId="2" applyNumberFormat="1" applyFont="1" applyFill="1" applyBorder="1" applyAlignment="1">
      <alignment horizontal="center" vertical="center"/>
    </xf>
    <xf numFmtId="3" fontId="12" fillId="7" borderId="1" xfId="2" applyNumberFormat="1" applyFont="1" applyFill="1" applyBorder="1" applyAlignment="1">
      <alignment horizontal="center" vertical="center"/>
    </xf>
    <xf numFmtId="165" fontId="13" fillId="7" borderId="1" xfId="2" applyNumberFormat="1" applyFont="1" applyFill="1" applyBorder="1"/>
    <xf numFmtId="165" fontId="2" fillId="7" borderId="3" xfId="2" applyNumberFormat="1" applyFill="1" applyBorder="1"/>
    <xf numFmtId="0" fontId="0" fillId="6" borderId="3" xfId="0" applyFill="1" applyBorder="1" applyAlignment="1">
      <alignment wrapText="1"/>
    </xf>
    <xf numFmtId="16" fontId="4" fillId="8" borderId="1" xfId="2" applyNumberFormat="1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164" fontId="4" fillId="8" borderId="1" xfId="2" applyNumberFormat="1" applyFont="1" applyFill="1" applyBorder="1" applyAlignment="1">
      <alignment horizontal="center" vertical="center"/>
    </xf>
    <xf numFmtId="3" fontId="4" fillId="8" borderId="1" xfId="2" applyNumberFormat="1" applyFont="1" applyFill="1" applyBorder="1" applyAlignment="1">
      <alignment horizontal="center" vertical="center"/>
    </xf>
    <xf numFmtId="164" fontId="4" fillId="8" borderId="1" xfId="2" applyNumberFormat="1" applyFont="1" applyFill="1" applyBorder="1"/>
    <xf numFmtId="165" fontId="4" fillId="8" borderId="1" xfId="2" applyNumberFormat="1" applyFont="1" applyFill="1" applyBorder="1"/>
    <xf numFmtId="165" fontId="14" fillId="8" borderId="3" xfId="2" applyNumberFormat="1" applyFont="1" applyFill="1" applyBorder="1"/>
    <xf numFmtId="0" fontId="15" fillId="8" borderId="3" xfId="0" applyFont="1" applyFill="1" applyBorder="1" applyAlignment="1">
      <alignment wrapText="1"/>
    </xf>
    <xf numFmtId="16" fontId="4" fillId="9" borderId="1" xfId="2" applyNumberFormat="1" applyFont="1" applyFill="1" applyBorder="1" applyAlignment="1">
      <alignment horizontal="center" vertical="center"/>
    </xf>
    <xf numFmtId="0" fontId="4" fillId="9" borderId="1" xfId="2" applyFont="1" applyFill="1" applyBorder="1" applyAlignment="1">
      <alignment horizontal="center" vertical="center"/>
    </xf>
    <xf numFmtId="164" fontId="4" fillId="9" borderId="1" xfId="2" applyNumberFormat="1" applyFont="1" applyFill="1" applyBorder="1" applyAlignment="1">
      <alignment horizontal="center" vertical="center"/>
    </xf>
    <xf numFmtId="164" fontId="4" fillId="9" borderId="1" xfId="2" applyNumberFormat="1" applyFont="1" applyFill="1" applyBorder="1"/>
    <xf numFmtId="165" fontId="4" fillId="9" borderId="1" xfId="2" applyNumberFormat="1" applyFont="1" applyFill="1" applyBorder="1"/>
    <xf numFmtId="165" fontId="16" fillId="6" borderId="1" xfId="2" applyNumberFormat="1" applyFont="1" applyFill="1" applyBorder="1"/>
    <xf numFmtId="165" fontId="14" fillId="9" borderId="0" xfId="2" applyNumberFormat="1" applyFont="1" applyFill="1"/>
    <xf numFmtId="0" fontId="15" fillId="9" borderId="0" xfId="0" applyFont="1" applyFill="1" applyAlignment="1">
      <alignment wrapText="1"/>
    </xf>
    <xf numFmtId="164" fontId="8" fillId="5" borderId="0" xfId="2" applyNumberFormat="1" applyFont="1" applyFill="1" applyBorder="1" applyAlignment="1">
      <alignment horizontal="center" vertical="center"/>
    </xf>
    <xf numFmtId="164" fontId="4" fillId="9" borderId="0" xfId="2" applyNumberFormat="1" applyFont="1" applyFill="1" applyBorder="1" applyAlignment="1">
      <alignment horizontal="center" vertical="center"/>
    </xf>
    <xf numFmtId="9" fontId="8" fillId="5" borderId="1" xfId="1" applyFont="1" applyFill="1" applyBorder="1" applyAlignment="1">
      <alignment horizontal="center" vertical="center"/>
    </xf>
    <xf numFmtId="9" fontId="4" fillId="8" borderId="1" xfId="1" applyFont="1" applyFill="1" applyBorder="1" applyAlignment="1">
      <alignment horizontal="center" vertical="center"/>
    </xf>
    <xf numFmtId="9" fontId="4" fillId="8" borderId="0" xfId="1" applyFont="1" applyFill="1" applyBorder="1" applyAlignment="1">
      <alignment horizontal="center" vertical="center"/>
    </xf>
    <xf numFmtId="0" fontId="17" fillId="2" borderId="0" xfId="2" applyFont="1" applyFill="1" applyAlignment="1">
      <alignment horizontal="center" vertical="center" wrapText="1"/>
    </xf>
    <xf numFmtId="0" fontId="18" fillId="4" borderId="0" xfId="2" applyFont="1" applyFill="1" applyAlignment="1">
      <alignment horizontal="center" vertical="center" wrapText="1"/>
    </xf>
    <xf numFmtId="16" fontId="19" fillId="5" borderId="1" xfId="2" applyNumberFormat="1" applyFont="1" applyFill="1" applyBorder="1" applyAlignment="1">
      <alignment horizontal="center" vertical="center"/>
    </xf>
    <xf numFmtId="0" fontId="19" fillId="5" borderId="1" xfId="2" applyFont="1" applyFill="1" applyBorder="1" applyAlignment="1">
      <alignment horizontal="center" vertical="center"/>
    </xf>
    <xf numFmtId="164" fontId="19" fillId="5" borderId="1" xfId="2" applyNumberFormat="1" applyFont="1" applyFill="1" applyBorder="1" applyAlignment="1">
      <alignment horizontal="center" vertical="center"/>
    </xf>
    <xf numFmtId="3" fontId="19" fillId="5" borderId="1" xfId="2" applyNumberFormat="1" applyFont="1" applyFill="1" applyBorder="1" applyAlignment="1">
      <alignment horizontal="center" vertical="center"/>
    </xf>
    <xf numFmtId="164" fontId="19" fillId="5" borderId="1" xfId="2" applyNumberFormat="1" applyFont="1" applyFill="1" applyBorder="1"/>
    <xf numFmtId="165" fontId="19" fillId="5" borderId="1" xfId="2" applyNumberFormat="1" applyFont="1" applyFill="1" applyBorder="1"/>
    <xf numFmtId="165" fontId="20" fillId="6" borderId="2" xfId="2" applyNumberFormat="1" applyFont="1" applyFill="1" applyBorder="1"/>
    <xf numFmtId="16" fontId="21" fillId="5" borderId="1" xfId="2" applyNumberFormat="1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164" fontId="21" fillId="7" borderId="1" xfId="2" applyNumberFormat="1" applyFont="1" applyFill="1" applyBorder="1" applyAlignment="1">
      <alignment horizontal="center" vertical="center"/>
    </xf>
    <xf numFmtId="164" fontId="22" fillId="7" borderId="1" xfId="2" applyNumberFormat="1" applyFont="1" applyFill="1" applyBorder="1" applyAlignment="1">
      <alignment horizontal="center" vertical="center"/>
    </xf>
    <xf numFmtId="3" fontId="21" fillId="7" borderId="1" xfId="2" applyNumberFormat="1" applyFont="1" applyFill="1" applyBorder="1" applyAlignment="1">
      <alignment horizontal="center" vertical="center"/>
    </xf>
    <xf numFmtId="3" fontId="22" fillId="7" borderId="1" xfId="2" applyNumberFormat="1" applyFont="1" applyFill="1" applyBorder="1" applyAlignment="1">
      <alignment horizontal="center" vertical="center"/>
    </xf>
    <xf numFmtId="165" fontId="22" fillId="7" borderId="1" xfId="2" applyNumberFormat="1" applyFont="1" applyFill="1" applyBorder="1"/>
    <xf numFmtId="16" fontId="6" fillId="8" borderId="1" xfId="2" applyNumberFormat="1" applyFont="1" applyFill="1" applyBorder="1" applyAlignment="1">
      <alignment horizontal="center" vertical="center"/>
    </xf>
    <xf numFmtId="0" fontId="6" fillId="8" borderId="1" xfId="2" applyFont="1" applyFill="1" applyBorder="1" applyAlignment="1">
      <alignment horizontal="center" vertical="center"/>
    </xf>
    <xf numFmtId="164" fontId="6" fillId="8" borderId="1" xfId="2" applyNumberFormat="1" applyFont="1" applyFill="1" applyBorder="1" applyAlignment="1">
      <alignment horizontal="center" vertical="center"/>
    </xf>
    <xf numFmtId="3" fontId="6" fillId="8" borderId="1" xfId="2" applyNumberFormat="1" applyFont="1" applyFill="1" applyBorder="1" applyAlignment="1">
      <alignment horizontal="center" vertical="center"/>
    </xf>
    <xf numFmtId="164" fontId="6" fillId="8" borderId="1" xfId="2" applyNumberFormat="1" applyFont="1" applyFill="1" applyBorder="1"/>
    <xf numFmtId="165" fontId="6" fillId="8" borderId="1" xfId="2" applyNumberFormat="1" applyFont="1" applyFill="1" applyBorder="1"/>
    <xf numFmtId="16" fontId="6" fillId="9" borderId="1" xfId="2" applyNumberFormat="1" applyFont="1" applyFill="1" applyBorder="1" applyAlignment="1">
      <alignment horizontal="center" vertical="center"/>
    </xf>
    <xf numFmtId="0" fontId="6" fillId="9" borderId="1" xfId="2" applyFont="1" applyFill="1" applyBorder="1" applyAlignment="1">
      <alignment horizontal="center" vertical="center"/>
    </xf>
    <xf numFmtId="164" fontId="6" fillId="9" borderId="1" xfId="2" applyNumberFormat="1" applyFont="1" applyFill="1" applyBorder="1" applyAlignment="1">
      <alignment horizontal="center" vertical="center"/>
    </xf>
    <xf numFmtId="164" fontId="6" fillId="9" borderId="1" xfId="2" applyNumberFormat="1" applyFont="1" applyFill="1" applyBorder="1"/>
    <xf numFmtId="165" fontId="6" fillId="9" borderId="1" xfId="2" applyNumberFormat="1" applyFont="1" applyFill="1" applyBorder="1"/>
    <xf numFmtId="165" fontId="23" fillId="6" borderId="1" xfId="2" applyNumberFormat="1" applyFont="1" applyFill="1" applyBorder="1"/>
  </cellXfs>
  <cellStyles count="3">
    <cellStyle name="Normal" xfId="0" builtinId="0"/>
    <cellStyle name="Normal 2" xfId="2" xr:uid="{8C20192D-4E98-4EB7-857E-415C707D88CA}"/>
    <cellStyle name="Pourcentage" xfId="1" builtinId="5"/>
  </cellStyles>
  <dxfs count="10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3EFA-30E5-4F7C-870D-C674195280A5}">
  <dimension ref="A1:AG36"/>
  <sheetViews>
    <sheetView workbookViewId="0">
      <selection sqref="A1:AD1"/>
    </sheetView>
  </sheetViews>
  <sheetFormatPr baseColWidth="10" defaultRowHeight="14.4" x14ac:dyDescent="0.3"/>
  <sheetData>
    <row r="1" spans="1:33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</row>
    <row r="2" spans="1:33" ht="39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  <c r="I2" s="3"/>
      <c r="J2" s="3"/>
      <c r="K2" s="3"/>
      <c r="L2" s="4" t="s">
        <v>8</v>
      </c>
      <c r="M2" s="3" t="s">
        <v>9</v>
      </c>
      <c r="N2" s="3"/>
      <c r="O2" s="3"/>
      <c r="P2" s="3"/>
      <c r="Q2" s="3"/>
      <c r="R2" s="3" t="s">
        <v>10</v>
      </c>
      <c r="S2" s="3" t="s">
        <v>11</v>
      </c>
      <c r="T2" s="3" t="s">
        <v>12</v>
      </c>
      <c r="U2" s="5" t="s">
        <v>13</v>
      </c>
      <c r="V2" s="3" t="s">
        <v>14</v>
      </c>
      <c r="W2" s="3" t="s">
        <v>15</v>
      </c>
      <c r="X2" s="3" t="s">
        <v>16</v>
      </c>
      <c r="Y2" s="3" t="s">
        <v>17</v>
      </c>
      <c r="Z2" s="3" t="s">
        <v>18</v>
      </c>
      <c r="AA2" s="3" t="s">
        <v>19</v>
      </c>
      <c r="AB2" s="3" t="s">
        <v>20</v>
      </c>
      <c r="AC2" s="3" t="s">
        <v>21</v>
      </c>
      <c r="AD2" s="3" t="s">
        <v>22</v>
      </c>
      <c r="AE2" s="3" t="s">
        <v>23</v>
      </c>
      <c r="AF2" s="5" t="s">
        <v>24</v>
      </c>
      <c r="AG2" s="5" t="s">
        <v>25</v>
      </c>
    </row>
    <row r="3" spans="1:33" ht="20.399999999999999" x14ac:dyDescent="0.3">
      <c r="A3" s="6"/>
      <c r="B3" s="6"/>
      <c r="C3" s="6"/>
      <c r="D3" s="6" t="s">
        <v>26</v>
      </c>
      <c r="E3" s="6" t="s">
        <v>27</v>
      </c>
      <c r="F3" s="6" t="s">
        <v>28</v>
      </c>
      <c r="G3" s="6"/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6" t="s">
        <v>38</v>
      </c>
      <c r="R3" s="6" t="s">
        <v>39</v>
      </c>
      <c r="S3" s="6" t="s">
        <v>40</v>
      </c>
      <c r="T3" s="6" t="s">
        <v>41</v>
      </c>
      <c r="U3" s="6" t="s">
        <v>42</v>
      </c>
      <c r="V3" s="6" t="s">
        <v>43</v>
      </c>
      <c r="W3" s="6" t="s">
        <v>44</v>
      </c>
      <c r="X3" s="6"/>
      <c r="Y3" s="6" t="s">
        <v>45</v>
      </c>
      <c r="Z3" s="6"/>
      <c r="AA3" s="6" t="s">
        <v>46</v>
      </c>
      <c r="AB3" s="6" t="s">
        <v>47</v>
      </c>
      <c r="AC3" s="6" t="s">
        <v>48</v>
      </c>
      <c r="AD3" s="6" t="s">
        <v>49</v>
      </c>
      <c r="AE3" s="6" t="s">
        <v>50</v>
      </c>
      <c r="AF3" s="2"/>
      <c r="AG3" s="2" t="s">
        <v>51</v>
      </c>
    </row>
    <row r="4" spans="1:33" x14ac:dyDescent="0.3">
      <c r="A4" s="7">
        <v>45352</v>
      </c>
      <c r="B4" s="8"/>
      <c r="C4" s="8"/>
      <c r="D4" s="9">
        <v>1440</v>
      </c>
      <c r="E4" s="9">
        <v>0</v>
      </c>
      <c r="F4" s="9">
        <f>D4-E4</f>
        <v>1440</v>
      </c>
      <c r="G4" s="9">
        <v>960</v>
      </c>
      <c r="H4" s="9">
        <v>0</v>
      </c>
      <c r="I4" s="9">
        <v>0</v>
      </c>
      <c r="J4" s="9">
        <v>0</v>
      </c>
      <c r="K4" s="9">
        <v>0</v>
      </c>
      <c r="L4" s="9">
        <f>SUM(H4:K4)</f>
        <v>0</v>
      </c>
      <c r="M4" s="9">
        <f>E4-L4</f>
        <v>0</v>
      </c>
      <c r="N4" s="9">
        <v>0</v>
      </c>
      <c r="O4" s="9">
        <v>0</v>
      </c>
      <c r="P4" s="9">
        <v>0</v>
      </c>
      <c r="Q4" s="9">
        <v>0</v>
      </c>
      <c r="R4" s="9">
        <f>SUM(N4:Q4)</f>
        <v>0</v>
      </c>
      <c r="S4" s="9">
        <f>M4-R4</f>
        <v>0</v>
      </c>
      <c r="T4" s="10">
        <v>0</v>
      </c>
      <c r="U4" s="10">
        <v>0</v>
      </c>
      <c r="V4" s="10">
        <v>0</v>
      </c>
      <c r="W4" s="10">
        <f>(T4/G4)</f>
        <v>0</v>
      </c>
      <c r="X4" s="10">
        <f>S4-W4</f>
        <v>0</v>
      </c>
      <c r="Y4" s="11">
        <f>S4-X4</f>
        <v>0</v>
      </c>
      <c r="Z4" s="11">
        <f>V4/G4</f>
        <v>0</v>
      </c>
      <c r="AA4" s="11">
        <f>Y4-Z4</f>
        <v>0</v>
      </c>
      <c r="AB4" s="12" t="str">
        <f>IF(OR(S4="",M4="",M4=0),"",S4/M4)</f>
        <v/>
      </c>
      <c r="AC4" s="12" t="str">
        <f>IF(OR(Y4="",S4="",S4=0),"",Y4/S4)</f>
        <v/>
      </c>
      <c r="AD4" s="12" t="str">
        <f>IF(OR(AA4="",Y4="",Y4=0),"",AA4/Y4)</f>
        <v/>
      </c>
      <c r="AE4" s="13">
        <f>IF(M4&gt;0,AA4/M4,0)</f>
        <v>0</v>
      </c>
      <c r="AF4" s="14">
        <f>IF(E4&gt;0,AA4/E4,0)</f>
        <v>0</v>
      </c>
      <c r="AG4" s="15" t="s">
        <v>52</v>
      </c>
    </row>
    <row r="5" spans="1:33" x14ac:dyDescent="0.3">
      <c r="A5" s="16">
        <v>45353</v>
      </c>
      <c r="B5" s="17"/>
      <c r="C5" s="17"/>
      <c r="D5" s="18">
        <v>1440</v>
      </c>
      <c r="E5" s="18">
        <v>0</v>
      </c>
      <c r="F5" s="19">
        <f>D5-E5</f>
        <v>1440</v>
      </c>
      <c r="G5" s="9">
        <v>960</v>
      </c>
      <c r="H5" s="19">
        <v>0</v>
      </c>
      <c r="I5" s="19">
        <v>0</v>
      </c>
      <c r="J5" s="19">
        <v>0</v>
      </c>
      <c r="K5" s="19">
        <v>0</v>
      </c>
      <c r="L5" s="18">
        <f t="shared" ref="L5:L33" si="0">SUM(H5:K5)</f>
        <v>0</v>
      </c>
      <c r="M5" s="18">
        <f>E5-L5</f>
        <v>0</v>
      </c>
      <c r="N5" s="18">
        <v>0</v>
      </c>
      <c r="O5" s="18">
        <v>0</v>
      </c>
      <c r="P5" s="18">
        <v>0</v>
      </c>
      <c r="Q5" s="18">
        <v>0</v>
      </c>
      <c r="R5" s="18">
        <f t="shared" ref="R5:R33" si="1">SUM(N5:Q5)</f>
        <v>0</v>
      </c>
      <c r="S5" s="18">
        <f>M5-R5</f>
        <v>0</v>
      </c>
      <c r="T5" s="20">
        <v>0</v>
      </c>
      <c r="U5" s="20">
        <v>0</v>
      </c>
      <c r="V5" s="10">
        <v>0</v>
      </c>
      <c r="W5" s="10">
        <f t="shared" ref="W5:W33" si="2">(T5/G5)</f>
        <v>0</v>
      </c>
      <c r="X5" s="10">
        <f t="shared" ref="X5:X33" si="3">S5-W5</f>
        <v>0</v>
      </c>
      <c r="Y5" s="11">
        <f t="shared" ref="Y5:Y33" si="4">S5-X5</f>
        <v>0</v>
      </c>
      <c r="Z5" s="11">
        <f t="shared" ref="Z5:Z33" si="5">V5/G5</f>
        <v>0</v>
      </c>
      <c r="AA5" s="11">
        <f t="shared" ref="AA5:AA33" si="6">Y5-Z5</f>
        <v>0</v>
      </c>
      <c r="AB5" s="21" t="str">
        <f>IF(OR(S5="",M5="",M5=0),"",S5/M5)</f>
        <v/>
      </c>
      <c r="AC5" s="21" t="str">
        <f>IF(OR(Y5="",S5="",S5=0),"",Y5/S5)</f>
        <v/>
      </c>
      <c r="AD5" s="21" t="str">
        <f>IF(OR(AA5="",Y5="",Y5=0),"",AA5/Y5)</f>
        <v/>
      </c>
      <c r="AE5" s="13">
        <f t="shared" ref="AE5:AE35" si="7">IF(M5&gt;0,AA5/M5,0)</f>
        <v>0</v>
      </c>
      <c r="AF5" s="22">
        <f t="shared" ref="AF5:AF35" si="8">IF(E5&gt;0,AA5/E5,0)</f>
        <v>0</v>
      </c>
      <c r="AG5" s="23"/>
    </row>
    <row r="6" spans="1:33" x14ac:dyDescent="0.3">
      <c r="A6" s="7">
        <v>45354</v>
      </c>
      <c r="B6" s="8"/>
      <c r="C6" s="8"/>
      <c r="D6" s="9">
        <v>1440</v>
      </c>
      <c r="E6" s="9">
        <v>360</v>
      </c>
      <c r="F6" s="9">
        <f>D6-E6</f>
        <v>1080</v>
      </c>
      <c r="G6" s="9">
        <v>960</v>
      </c>
      <c r="H6" s="9">
        <v>0</v>
      </c>
      <c r="I6" s="9">
        <v>0</v>
      </c>
      <c r="J6" s="9">
        <v>0</v>
      </c>
      <c r="K6" s="9">
        <v>360</v>
      </c>
      <c r="L6" s="9">
        <f t="shared" si="0"/>
        <v>360</v>
      </c>
      <c r="M6" s="9">
        <f>E6-L6</f>
        <v>0</v>
      </c>
      <c r="N6" s="9">
        <v>0</v>
      </c>
      <c r="O6" s="9">
        <v>0</v>
      </c>
      <c r="P6" s="9">
        <v>0</v>
      </c>
      <c r="Q6" s="9">
        <v>0</v>
      </c>
      <c r="R6" s="9">
        <f t="shared" si="1"/>
        <v>0</v>
      </c>
      <c r="S6" s="9">
        <f>M6-R6</f>
        <v>0</v>
      </c>
      <c r="T6" s="10">
        <v>0</v>
      </c>
      <c r="U6" s="10">
        <v>0</v>
      </c>
      <c r="V6" s="10">
        <v>0</v>
      </c>
      <c r="W6" s="10">
        <f t="shared" si="2"/>
        <v>0</v>
      </c>
      <c r="X6" s="10">
        <f t="shared" si="3"/>
        <v>0</v>
      </c>
      <c r="Y6" s="11">
        <f t="shared" si="4"/>
        <v>0</v>
      </c>
      <c r="Z6" s="11">
        <f t="shared" si="5"/>
        <v>0</v>
      </c>
      <c r="AA6" s="11">
        <f t="shared" si="6"/>
        <v>0</v>
      </c>
      <c r="AB6" s="12" t="str">
        <f>IF(OR(S6="",M6="",M6=0),"",S6/M6)</f>
        <v/>
      </c>
      <c r="AC6" s="12" t="str">
        <f>IF(OR(Y6="",S6="",S6=0),"",Y6/S6)</f>
        <v/>
      </c>
      <c r="AD6" s="12" t="str">
        <f>IF(OR(AA6="",Y6="",Y6=0),"",AA6/Y6)</f>
        <v/>
      </c>
      <c r="AE6" s="13">
        <f t="shared" si="7"/>
        <v>0</v>
      </c>
      <c r="AF6" s="14">
        <f t="shared" si="8"/>
        <v>0</v>
      </c>
      <c r="AG6" s="15" t="s">
        <v>53</v>
      </c>
    </row>
    <row r="7" spans="1:33" x14ac:dyDescent="0.3">
      <c r="A7" s="7">
        <v>45355</v>
      </c>
      <c r="B7" s="8" t="s">
        <v>74</v>
      </c>
      <c r="C7" s="8">
        <v>25004</v>
      </c>
      <c r="D7" s="9">
        <v>1440</v>
      </c>
      <c r="E7" s="9">
        <v>720</v>
      </c>
      <c r="F7" s="9">
        <f>D7-E7</f>
        <v>720</v>
      </c>
      <c r="G7" s="9">
        <v>960</v>
      </c>
      <c r="H7" s="9">
        <v>0</v>
      </c>
      <c r="I7" s="9">
        <v>0</v>
      </c>
      <c r="J7" s="9">
        <v>250</v>
      </c>
      <c r="K7" s="9">
        <v>0</v>
      </c>
      <c r="L7" s="9">
        <f t="shared" si="0"/>
        <v>250</v>
      </c>
      <c r="M7" s="9">
        <f>E7-L7</f>
        <v>470</v>
      </c>
      <c r="N7" s="9">
        <v>93</v>
      </c>
      <c r="O7" s="9">
        <v>0</v>
      </c>
      <c r="P7" s="9">
        <v>60</v>
      </c>
      <c r="Q7" s="9">
        <v>0</v>
      </c>
      <c r="R7" s="9">
        <f t="shared" si="1"/>
        <v>153</v>
      </c>
      <c r="S7" s="9">
        <f>M7-R7</f>
        <v>317</v>
      </c>
      <c r="T7" s="10">
        <v>302194</v>
      </c>
      <c r="U7" s="10">
        <v>302194</v>
      </c>
      <c r="V7" s="10">
        <v>0</v>
      </c>
      <c r="W7" s="10">
        <f t="shared" si="2"/>
        <v>314.78541666666666</v>
      </c>
      <c r="X7" s="10">
        <f t="shared" si="3"/>
        <v>2.2145833333333371</v>
      </c>
      <c r="Y7" s="11">
        <f t="shared" si="4"/>
        <v>314.78541666666666</v>
      </c>
      <c r="Z7" s="11">
        <f t="shared" si="5"/>
        <v>0</v>
      </c>
      <c r="AA7" s="11">
        <f t="shared" si="6"/>
        <v>314.78541666666666</v>
      </c>
      <c r="AB7" s="12">
        <f>IF(OR(S7="",M7="",M7=0),"",S7/M7)</f>
        <v>0.67446808510638301</v>
      </c>
      <c r="AC7" s="12">
        <f>IF(OR(Y7="",S7="",S7=0),"",Y7/S7)</f>
        <v>0.99301393270241844</v>
      </c>
      <c r="AD7" s="12">
        <f>IF(OR(AA7="",Y7="",Y7=0),"",AA7/Y7)</f>
        <v>1</v>
      </c>
      <c r="AE7" s="13">
        <f t="shared" si="7"/>
        <v>0.66975620567375882</v>
      </c>
      <c r="AF7" s="14">
        <f t="shared" si="8"/>
        <v>0.43720196759259261</v>
      </c>
      <c r="AG7" s="15"/>
    </row>
    <row r="8" spans="1:33" ht="86.4" x14ac:dyDescent="0.3">
      <c r="A8" s="16">
        <v>45356</v>
      </c>
      <c r="B8" s="17" t="s">
        <v>74</v>
      </c>
      <c r="C8" s="17" t="s">
        <v>76</v>
      </c>
      <c r="D8" s="18">
        <v>1440</v>
      </c>
      <c r="E8" s="18">
        <v>750</v>
      </c>
      <c r="F8" s="19">
        <f>D8-E8</f>
        <v>690</v>
      </c>
      <c r="G8" s="9">
        <v>960</v>
      </c>
      <c r="H8" s="19">
        <v>0</v>
      </c>
      <c r="I8" s="19">
        <v>0</v>
      </c>
      <c r="J8" s="19">
        <v>193</v>
      </c>
      <c r="K8" s="19">
        <v>0</v>
      </c>
      <c r="L8" s="18">
        <f t="shared" si="0"/>
        <v>193</v>
      </c>
      <c r="M8" s="18">
        <f>E8-L8</f>
        <v>557</v>
      </c>
      <c r="N8" s="18">
        <v>244</v>
      </c>
      <c r="O8" s="18">
        <v>0</v>
      </c>
      <c r="P8" s="18">
        <v>0</v>
      </c>
      <c r="Q8" s="18">
        <v>0</v>
      </c>
      <c r="R8" s="18">
        <f t="shared" si="1"/>
        <v>244</v>
      </c>
      <c r="S8" s="18">
        <f>M8-R8</f>
        <v>313</v>
      </c>
      <c r="T8" s="20">
        <v>295683</v>
      </c>
      <c r="U8" s="20">
        <v>295683</v>
      </c>
      <c r="V8" s="10">
        <v>0</v>
      </c>
      <c r="W8" s="10">
        <f t="shared" si="2"/>
        <v>308.00312500000001</v>
      </c>
      <c r="X8" s="10">
        <f t="shared" si="3"/>
        <v>4.9968749999999886</v>
      </c>
      <c r="Y8" s="11">
        <f t="shared" si="4"/>
        <v>308.00312500000001</v>
      </c>
      <c r="Z8" s="11">
        <f t="shared" si="5"/>
        <v>0</v>
      </c>
      <c r="AA8" s="11">
        <f t="shared" si="6"/>
        <v>308.00312500000001</v>
      </c>
      <c r="AB8" s="21">
        <f>IF(OR(S8="",M8="",M8=0),"",S8/M8)</f>
        <v>0.56193895870736088</v>
      </c>
      <c r="AC8" s="21">
        <f>IF(OR(Y8="",S8="",S8=0),"",Y8/S8)</f>
        <v>0.9840355431309904</v>
      </c>
      <c r="AD8" s="21">
        <f>IF(OR(AA8="",Y8="",Y8=0),"",AA8/Y8)</f>
        <v>1</v>
      </c>
      <c r="AE8" s="13">
        <f t="shared" si="7"/>
        <v>0.5529679084380611</v>
      </c>
      <c r="AF8" s="22">
        <f t="shared" si="8"/>
        <v>0.41067083333333337</v>
      </c>
      <c r="AG8" s="23" t="s">
        <v>54</v>
      </c>
    </row>
    <row r="9" spans="1:33" x14ac:dyDescent="0.3">
      <c r="A9" s="16">
        <v>45357</v>
      </c>
      <c r="B9" s="17" t="s">
        <v>74</v>
      </c>
      <c r="C9" s="17" t="s">
        <v>77</v>
      </c>
      <c r="D9" s="18">
        <v>1440</v>
      </c>
      <c r="E9" s="18">
        <v>720</v>
      </c>
      <c r="F9" s="19">
        <f>D9-E9</f>
        <v>720</v>
      </c>
      <c r="G9" s="9">
        <v>960</v>
      </c>
      <c r="H9" s="19">
        <v>0</v>
      </c>
      <c r="I9" s="19">
        <v>0</v>
      </c>
      <c r="J9" s="19">
        <v>285</v>
      </c>
      <c r="K9" s="19">
        <v>0</v>
      </c>
      <c r="L9" s="19">
        <f t="shared" si="0"/>
        <v>285</v>
      </c>
      <c r="M9" s="18">
        <f>E9-L9</f>
        <v>435</v>
      </c>
      <c r="N9" s="18">
        <v>112</v>
      </c>
      <c r="O9" s="18">
        <v>0</v>
      </c>
      <c r="P9" s="18">
        <v>0</v>
      </c>
      <c r="Q9" s="18">
        <v>0</v>
      </c>
      <c r="R9" s="18">
        <f t="shared" si="1"/>
        <v>112</v>
      </c>
      <c r="S9" s="18">
        <f>M9-R9</f>
        <v>323</v>
      </c>
      <c r="T9" s="20">
        <v>307191</v>
      </c>
      <c r="U9" s="20">
        <v>307191</v>
      </c>
      <c r="V9" s="10">
        <v>0</v>
      </c>
      <c r="W9" s="10">
        <f t="shared" si="2"/>
        <v>319.99062500000002</v>
      </c>
      <c r="X9" s="10">
        <f t="shared" si="3"/>
        <v>3.0093749999999773</v>
      </c>
      <c r="Y9" s="11">
        <f t="shared" si="4"/>
        <v>319.99062500000002</v>
      </c>
      <c r="Z9" s="11">
        <f t="shared" si="5"/>
        <v>0</v>
      </c>
      <c r="AA9" s="11">
        <f t="shared" si="6"/>
        <v>319.99062500000002</v>
      </c>
      <c r="AB9" s="21">
        <f>IF(OR(S9="",M9="",M9=0),"",S9/M9)</f>
        <v>0.74252873563218391</v>
      </c>
      <c r="AC9" s="21">
        <f>IF(OR(Y9="",S9="",S9=0),"",Y9/S9)</f>
        <v>0.99068304953560382</v>
      </c>
      <c r="AD9" s="21">
        <f>IF(OR(AA9="",Y9="",Y9=0),"",AA9/Y9)</f>
        <v>1</v>
      </c>
      <c r="AE9" s="13">
        <f t="shared" si="7"/>
        <v>0.7356106321839081</v>
      </c>
      <c r="AF9" s="22">
        <f t="shared" si="8"/>
        <v>0.44443142361111115</v>
      </c>
      <c r="AG9" s="23"/>
    </row>
    <row r="10" spans="1:33" x14ac:dyDescent="0.3">
      <c r="A10" s="16">
        <v>45358</v>
      </c>
      <c r="B10" s="17" t="s">
        <v>74</v>
      </c>
      <c r="C10" s="17" t="s">
        <v>78</v>
      </c>
      <c r="D10" s="18">
        <v>1440</v>
      </c>
      <c r="E10" s="18">
        <v>720</v>
      </c>
      <c r="F10" s="19">
        <f>D10-E10</f>
        <v>720</v>
      </c>
      <c r="G10" s="9">
        <v>960</v>
      </c>
      <c r="H10" s="19">
        <v>0</v>
      </c>
      <c r="I10" s="19">
        <v>0</v>
      </c>
      <c r="J10" s="19">
        <v>250</v>
      </c>
      <c r="K10" s="19">
        <v>0</v>
      </c>
      <c r="L10" s="19">
        <f t="shared" si="0"/>
        <v>250</v>
      </c>
      <c r="M10" s="18">
        <f>E10-L10</f>
        <v>470</v>
      </c>
      <c r="N10" s="18">
        <v>66</v>
      </c>
      <c r="O10" s="18">
        <v>0</v>
      </c>
      <c r="P10" s="18">
        <v>45</v>
      </c>
      <c r="Q10" s="18">
        <v>0</v>
      </c>
      <c r="R10" s="18">
        <f t="shared" si="1"/>
        <v>111</v>
      </c>
      <c r="S10" s="18">
        <f>M10-R10</f>
        <v>359</v>
      </c>
      <c r="T10" s="20">
        <v>342229</v>
      </c>
      <c r="U10" s="20">
        <v>342229</v>
      </c>
      <c r="V10" s="10">
        <v>0</v>
      </c>
      <c r="W10" s="10">
        <f t="shared" si="2"/>
        <v>356.48854166666666</v>
      </c>
      <c r="X10" s="10">
        <f t="shared" si="3"/>
        <v>2.5114583333333371</v>
      </c>
      <c r="Y10" s="11">
        <f t="shared" si="4"/>
        <v>356.48854166666666</v>
      </c>
      <c r="Z10" s="11">
        <f t="shared" si="5"/>
        <v>0</v>
      </c>
      <c r="AA10" s="11">
        <f t="shared" si="6"/>
        <v>356.48854166666666</v>
      </c>
      <c r="AB10" s="21">
        <f>IF(OR(S10="",M10="",M10=0),"",S10/M10)</f>
        <v>0.7638297872340426</v>
      </c>
      <c r="AC10" s="21">
        <f>IF(OR(Y10="",S10="",S10=0),"",Y10/S10)</f>
        <v>0.99300429433611881</v>
      </c>
      <c r="AD10" s="21">
        <f>IF(OR(AA10="",Y10="",Y10=0),"",AA10/Y10)</f>
        <v>1</v>
      </c>
      <c r="AE10" s="13">
        <f t="shared" si="7"/>
        <v>0.75848625886524823</v>
      </c>
      <c r="AF10" s="22">
        <f t="shared" si="8"/>
        <v>0.49512297453703702</v>
      </c>
      <c r="AG10" s="23"/>
    </row>
    <row r="11" spans="1:33" ht="100.8" x14ac:dyDescent="0.3">
      <c r="A11" s="16">
        <v>45359</v>
      </c>
      <c r="B11" s="17" t="s">
        <v>74</v>
      </c>
      <c r="C11" s="17">
        <v>25007</v>
      </c>
      <c r="D11" s="18">
        <v>1440</v>
      </c>
      <c r="E11" s="18">
        <v>240</v>
      </c>
      <c r="F11" s="19">
        <f>D11-E11</f>
        <v>1200</v>
      </c>
      <c r="G11" s="9">
        <v>960</v>
      </c>
      <c r="H11" s="19">
        <v>0</v>
      </c>
      <c r="I11" s="19">
        <v>0</v>
      </c>
      <c r="J11" s="19">
        <v>85</v>
      </c>
      <c r="K11" s="19">
        <v>0</v>
      </c>
      <c r="L11" s="19">
        <f t="shared" si="0"/>
        <v>85</v>
      </c>
      <c r="M11" s="18">
        <f>E11-L11</f>
        <v>155</v>
      </c>
      <c r="N11" s="18">
        <v>0</v>
      </c>
      <c r="O11" s="18">
        <v>46</v>
      </c>
      <c r="P11" s="18">
        <v>0</v>
      </c>
      <c r="Q11" s="18">
        <v>0</v>
      </c>
      <c r="R11" s="18">
        <f t="shared" si="1"/>
        <v>46</v>
      </c>
      <c r="S11" s="18">
        <f>M11-R11</f>
        <v>109</v>
      </c>
      <c r="T11" s="20">
        <v>104068</v>
      </c>
      <c r="U11" s="20">
        <v>104068</v>
      </c>
      <c r="V11" s="10">
        <v>0</v>
      </c>
      <c r="W11" s="10">
        <f t="shared" si="2"/>
        <v>108.40416666666667</v>
      </c>
      <c r="X11" s="10">
        <f t="shared" si="3"/>
        <v>0.59583333333333144</v>
      </c>
      <c r="Y11" s="11">
        <f t="shared" si="4"/>
        <v>108.40416666666667</v>
      </c>
      <c r="Z11" s="11">
        <f t="shared" si="5"/>
        <v>0</v>
      </c>
      <c r="AA11" s="11">
        <f t="shared" si="6"/>
        <v>108.40416666666667</v>
      </c>
      <c r="AB11" s="21">
        <f>IF(OR(S11="",M11="",M11=0),"",S11/M11)</f>
        <v>0.70322580645161292</v>
      </c>
      <c r="AC11" s="21">
        <f>IF(OR(Y11="",S11="",S11=0),"",Y11/S11)</f>
        <v>0.99453363914373094</v>
      </c>
      <c r="AD11" s="21">
        <f>IF(OR(AA11="",Y11="",Y11=0),"",AA11/Y11)</f>
        <v>1</v>
      </c>
      <c r="AE11" s="13">
        <f t="shared" si="7"/>
        <v>0.69938172043010749</v>
      </c>
      <c r="AF11" s="22">
        <f t="shared" si="8"/>
        <v>0.45168402777777777</v>
      </c>
      <c r="AG11" s="23" t="s">
        <v>56</v>
      </c>
    </row>
    <row r="12" spans="1:33" x14ac:dyDescent="0.3">
      <c r="A12" s="16">
        <v>45360</v>
      </c>
      <c r="B12" s="17"/>
      <c r="C12" s="17"/>
      <c r="D12" s="18">
        <v>1440</v>
      </c>
      <c r="E12" s="18">
        <v>360</v>
      </c>
      <c r="F12" s="19">
        <f>D12-E12</f>
        <v>1080</v>
      </c>
      <c r="G12" s="9">
        <v>960</v>
      </c>
      <c r="H12" s="19">
        <v>0</v>
      </c>
      <c r="I12" s="19">
        <v>0</v>
      </c>
      <c r="J12" s="19">
        <v>0</v>
      </c>
      <c r="K12" s="19">
        <v>360</v>
      </c>
      <c r="L12" s="19">
        <f t="shared" si="0"/>
        <v>360</v>
      </c>
      <c r="M12" s="18">
        <f>E12-L12</f>
        <v>0</v>
      </c>
      <c r="N12" s="18">
        <v>0</v>
      </c>
      <c r="O12" s="18">
        <v>0</v>
      </c>
      <c r="P12" s="18">
        <v>0</v>
      </c>
      <c r="Q12" s="18">
        <v>0</v>
      </c>
      <c r="R12" s="18">
        <f t="shared" si="1"/>
        <v>0</v>
      </c>
      <c r="S12" s="18">
        <f>M12-R12</f>
        <v>0</v>
      </c>
      <c r="T12" s="20">
        <v>0</v>
      </c>
      <c r="U12" s="20">
        <v>0</v>
      </c>
      <c r="V12" s="10">
        <v>0</v>
      </c>
      <c r="W12" s="10">
        <f t="shared" si="2"/>
        <v>0</v>
      </c>
      <c r="X12" s="10">
        <f t="shared" si="3"/>
        <v>0</v>
      </c>
      <c r="Y12" s="11">
        <f t="shared" si="4"/>
        <v>0</v>
      </c>
      <c r="Z12" s="11">
        <f t="shared" si="5"/>
        <v>0</v>
      </c>
      <c r="AA12" s="11">
        <f t="shared" si="6"/>
        <v>0</v>
      </c>
      <c r="AB12" s="21" t="str">
        <f>IF(OR(S12="",M12="",M12=0),"",S12/M12)</f>
        <v/>
      </c>
      <c r="AC12" s="21" t="str">
        <f>IF(OR(Y12="",S12="",S12=0),"",Y12/S12)</f>
        <v/>
      </c>
      <c r="AD12" s="21" t="str">
        <f>IF(OR(AA12="",Y12="",Y12=0),"",AA12/Y12)</f>
        <v/>
      </c>
      <c r="AE12" s="13">
        <f t="shared" si="7"/>
        <v>0</v>
      </c>
      <c r="AF12" s="22">
        <f t="shared" si="8"/>
        <v>0</v>
      </c>
      <c r="AG12" s="23" t="s">
        <v>57</v>
      </c>
    </row>
    <row r="13" spans="1:33" x14ac:dyDescent="0.3">
      <c r="A13" s="7">
        <v>45361</v>
      </c>
      <c r="B13" s="8" t="s">
        <v>74</v>
      </c>
      <c r="C13" s="8">
        <v>25008</v>
      </c>
      <c r="D13" s="9">
        <v>1440</v>
      </c>
      <c r="E13" s="9">
        <v>660</v>
      </c>
      <c r="F13" s="9">
        <f>D13-E13</f>
        <v>780</v>
      </c>
      <c r="G13" s="9">
        <v>960</v>
      </c>
      <c r="H13" s="9">
        <v>0</v>
      </c>
      <c r="I13" s="9">
        <v>0</v>
      </c>
      <c r="J13" s="9">
        <v>140</v>
      </c>
      <c r="K13" s="9">
        <v>0</v>
      </c>
      <c r="L13" s="9">
        <f t="shared" si="0"/>
        <v>140</v>
      </c>
      <c r="M13" s="9">
        <f>E13-L13</f>
        <v>520</v>
      </c>
      <c r="N13" s="9">
        <v>157</v>
      </c>
      <c r="O13" s="9">
        <v>0</v>
      </c>
      <c r="P13" s="9">
        <v>0</v>
      </c>
      <c r="Q13" s="9">
        <v>0</v>
      </c>
      <c r="R13" s="9">
        <f t="shared" si="1"/>
        <v>157</v>
      </c>
      <c r="S13" s="9">
        <f>M13-R13</f>
        <v>363</v>
      </c>
      <c r="T13" s="10">
        <v>345806</v>
      </c>
      <c r="U13" s="10">
        <v>345806</v>
      </c>
      <c r="V13" s="10">
        <v>0</v>
      </c>
      <c r="W13" s="10">
        <f t="shared" si="2"/>
        <v>360.21458333333334</v>
      </c>
      <c r="X13" s="10">
        <f t="shared" si="3"/>
        <v>2.7854166666666629</v>
      </c>
      <c r="Y13" s="11">
        <f t="shared" si="4"/>
        <v>360.21458333333334</v>
      </c>
      <c r="Z13" s="11">
        <f t="shared" si="5"/>
        <v>0</v>
      </c>
      <c r="AA13" s="11">
        <f t="shared" si="6"/>
        <v>360.21458333333334</v>
      </c>
      <c r="AB13" s="12">
        <f>IF(OR(S13="",M13="",M13=0),"",S13/M13)</f>
        <v>0.69807692307692304</v>
      </c>
      <c r="AC13" s="12">
        <f>IF(OR(Y13="",S13="",S13=0),"",Y13/S13)</f>
        <v>0.99232667584940315</v>
      </c>
      <c r="AD13" s="12">
        <f>IF(OR(AA13="",Y13="",Y13=0),"",AA13/Y13)</f>
        <v>1</v>
      </c>
      <c r="AE13" s="13">
        <f t="shared" si="7"/>
        <v>0.69272035256410258</v>
      </c>
      <c r="AF13" s="14">
        <f t="shared" si="8"/>
        <v>0.54577967171717168</v>
      </c>
      <c r="AG13" s="15" t="s">
        <v>53</v>
      </c>
    </row>
    <row r="14" spans="1:33" x14ac:dyDescent="0.3">
      <c r="A14" s="7">
        <v>45362</v>
      </c>
      <c r="B14" s="8" t="s">
        <v>74</v>
      </c>
      <c r="C14" s="8">
        <v>25009</v>
      </c>
      <c r="D14" s="9">
        <v>1440</v>
      </c>
      <c r="E14" s="9">
        <v>720</v>
      </c>
      <c r="F14" s="9">
        <f>D14-E14</f>
        <v>720</v>
      </c>
      <c r="G14" s="9">
        <v>960</v>
      </c>
      <c r="H14" s="9">
        <v>0</v>
      </c>
      <c r="I14" s="9">
        <v>0</v>
      </c>
      <c r="J14" s="9">
        <v>140</v>
      </c>
      <c r="K14" s="9">
        <v>0</v>
      </c>
      <c r="L14" s="9">
        <f t="shared" si="0"/>
        <v>140</v>
      </c>
      <c r="M14" s="9">
        <f>E14-L14</f>
        <v>580</v>
      </c>
      <c r="N14" s="9">
        <v>209</v>
      </c>
      <c r="O14" s="9">
        <v>15</v>
      </c>
      <c r="P14" s="9">
        <v>0</v>
      </c>
      <c r="Q14" s="9">
        <v>0</v>
      </c>
      <c r="R14" s="9">
        <f t="shared" si="1"/>
        <v>224</v>
      </c>
      <c r="S14" s="9">
        <f>M14-R14</f>
        <v>356</v>
      </c>
      <c r="T14" s="10">
        <v>339661</v>
      </c>
      <c r="U14" s="10">
        <v>339661</v>
      </c>
      <c r="V14" s="10">
        <v>0</v>
      </c>
      <c r="W14" s="10">
        <f t="shared" si="2"/>
        <v>353.81354166666665</v>
      </c>
      <c r="X14" s="10">
        <f t="shared" si="3"/>
        <v>2.1864583333333485</v>
      </c>
      <c r="Y14" s="11">
        <f t="shared" si="4"/>
        <v>353.81354166666665</v>
      </c>
      <c r="Z14" s="11">
        <f t="shared" si="5"/>
        <v>0</v>
      </c>
      <c r="AA14" s="11">
        <f t="shared" si="6"/>
        <v>353.81354166666665</v>
      </c>
      <c r="AB14" s="12">
        <f>IF(OR(S14="",M14="",M14=0),"",S14/M14)</f>
        <v>0.61379310344827587</v>
      </c>
      <c r="AC14" s="12">
        <f>IF(OR(Y14="",S14="",S14=0),"",Y14/S14)</f>
        <v>0.99385826310861414</v>
      </c>
      <c r="AD14" s="12">
        <f>IF(OR(AA14="",Y14="",Y14=0),"",AA14/Y14)</f>
        <v>1</v>
      </c>
      <c r="AE14" s="13">
        <f t="shared" si="7"/>
        <v>0.61002334770114941</v>
      </c>
      <c r="AF14" s="14">
        <f t="shared" si="8"/>
        <v>0.49140769675925922</v>
      </c>
      <c r="AG14" s="15"/>
    </row>
    <row r="15" spans="1:33" ht="57.6" x14ac:dyDescent="0.3">
      <c r="A15" s="16">
        <v>45363</v>
      </c>
      <c r="B15" s="17"/>
      <c r="C15" s="17"/>
      <c r="D15" s="18">
        <v>1440</v>
      </c>
      <c r="E15" s="18">
        <v>0</v>
      </c>
      <c r="F15" s="19">
        <f>D15-E15</f>
        <v>1440</v>
      </c>
      <c r="G15" s="9">
        <v>960</v>
      </c>
      <c r="H15" s="19">
        <v>0</v>
      </c>
      <c r="I15" s="19">
        <v>0</v>
      </c>
      <c r="J15" s="19">
        <v>0</v>
      </c>
      <c r="K15" s="19">
        <v>0</v>
      </c>
      <c r="L15" s="19">
        <f t="shared" si="0"/>
        <v>0</v>
      </c>
      <c r="M15" s="18">
        <f>E15-L15</f>
        <v>0</v>
      </c>
      <c r="N15" s="18">
        <v>0</v>
      </c>
      <c r="O15" s="18">
        <v>0</v>
      </c>
      <c r="P15" s="18">
        <v>0</v>
      </c>
      <c r="Q15" s="18">
        <v>0</v>
      </c>
      <c r="R15" s="18">
        <f t="shared" si="1"/>
        <v>0</v>
      </c>
      <c r="S15" s="18">
        <f>M15-R15</f>
        <v>0</v>
      </c>
      <c r="T15" s="20">
        <v>0</v>
      </c>
      <c r="U15" s="20">
        <v>0</v>
      </c>
      <c r="V15" s="10">
        <v>0</v>
      </c>
      <c r="W15" s="10">
        <f t="shared" si="2"/>
        <v>0</v>
      </c>
      <c r="X15" s="10">
        <f t="shared" si="3"/>
        <v>0</v>
      </c>
      <c r="Y15" s="11">
        <f t="shared" si="4"/>
        <v>0</v>
      </c>
      <c r="Z15" s="11">
        <f t="shared" si="5"/>
        <v>0</v>
      </c>
      <c r="AA15" s="11">
        <f t="shared" si="6"/>
        <v>0</v>
      </c>
      <c r="AB15" s="21" t="str">
        <f>IF(OR(S15="",M15="",M15=0),"",S15/M15)</f>
        <v/>
      </c>
      <c r="AC15" s="21" t="str">
        <f>IF(OR(Y15="",S15="",S15=0),"",Y15/S15)</f>
        <v/>
      </c>
      <c r="AD15" s="21" t="str">
        <f>IF(OR(AA15="",Y15="",Y15=0),"",AA15/Y15)</f>
        <v/>
      </c>
      <c r="AE15" s="13">
        <f t="shared" si="7"/>
        <v>0</v>
      </c>
      <c r="AF15" s="22">
        <f t="shared" si="8"/>
        <v>0</v>
      </c>
      <c r="AG15" s="23" t="s">
        <v>58</v>
      </c>
    </row>
    <row r="16" spans="1:33" ht="100.8" x14ac:dyDescent="0.3">
      <c r="A16" s="16">
        <v>45364</v>
      </c>
      <c r="B16" s="17" t="s">
        <v>74</v>
      </c>
      <c r="C16" s="17">
        <v>25010</v>
      </c>
      <c r="D16" s="18">
        <v>1440</v>
      </c>
      <c r="E16" s="18">
        <v>720</v>
      </c>
      <c r="F16" s="19">
        <f>D16-E16</f>
        <v>720</v>
      </c>
      <c r="G16" s="9">
        <v>960</v>
      </c>
      <c r="H16" s="19">
        <v>0</v>
      </c>
      <c r="I16" s="19">
        <v>0</v>
      </c>
      <c r="J16" s="19">
        <v>245</v>
      </c>
      <c r="K16" s="19">
        <v>0</v>
      </c>
      <c r="L16" s="19">
        <f t="shared" si="0"/>
        <v>245</v>
      </c>
      <c r="M16" s="18">
        <f>E16-L16</f>
        <v>475</v>
      </c>
      <c r="N16" s="18">
        <v>105</v>
      </c>
      <c r="O16" s="18">
        <v>0</v>
      </c>
      <c r="P16" s="18">
        <v>0</v>
      </c>
      <c r="Q16" s="18">
        <v>75</v>
      </c>
      <c r="R16" s="18">
        <f t="shared" si="1"/>
        <v>180</v>
      </c>
      <c r="S16" s="18">
        <f>M16-R16</f>
        <v>295</v>
      </c>
      <c r="T16" s="20">
        <v>280394</v>
      </c>
      <c r="U16" s="20">
        <v>280394</v>
      </c>
      <c r="V16" s="10">
        <v>0</v>
      </c>
      <c r="W16" s="10">
        <f t="shared" si="2"/>
        <v>292.07708333333335</v>
      </c>
      <c r="X16" s="10">
        <f t="shared" si="3"/>
        <v>2.9229166666666515</v>
      </c>
      <c r="Y16" s="11">
        <f t="shared" si="4"/>
        <v>292.07708333333335</v>
      </c>
      <c r="Z16" s="11">
        <f t="shared" si="5"/>
        <v>0</v>
      </c>
      <c r="AA16" s="11">
        <f t="shared" si="6"/>
        <v>292.07708333333335</v>
      </c>
      <c r="AB16" s="21">
        <f>IF(OR(S16="",M16="",M16=0),"",S16/M16)</f>
        <v>0.62105263157894741</v>
      </c>
      <c r="AC16" s="21">
        <f>IF(OR(Y16="",S16="",S16=0),"",Y16/S16)</f>
        <v>0.9900918079096046</v>
      </c>
      <c r="AD16" s="21">
        <f>IF(OR(AA16="",Y16="",Y16=0),"",AA16/Y16)</f>
        <v>1</v>
      </c>
      <c r="AE16" s="13">
        <f t="shared" si="7"/>
        <v>0.61489912280701753</v>
      </c>
      <c r="AF16" s="22">
        <f t="shared" si="8"/>
        <v>0.40566261574074075</v>
      </c>
      <c r="AG16" s="23" t="s">
        <v>59</v>
      </c>
    </row>
    <row r="17" spans="1:33" ht="100.8" x14ac:dyDescent="0.3">
      <c r="A17" s="16">
        <v>45365</v>
      </c>
      <c r="B17" s="17" t="s">
        <v>74</v>
      </c>
      <c r="C17" s="17" t="s">
        <v>79</v>
      </c>
      <c r="D17" s="18">
        <v>1440</v>
      </c>
      <c r="E17" s="18">
        <v>720</v>
      </c>
      <c r="F17" s="19">
        <f>D17-E17</f>
        <v>720</v>
      </c>
      <c r="G17" s="9">
        <v>960</v>
      </c>
      <c r="H17" s="19">
        <v>0</v>
      </c>
      <c r="I17" s="19">
        <v>0</v>
      </c>
      <c r="J17" s="19">
        <v>250</v>
      </c>
      <c r="K17" s="19">
        <v>0</v>
      </c>
      <c r="L17" s="19">
        <f t="shared" si="0"/>
        <v>250</v>
      </c>
      <c r="M17" s="18">
        <f>E17-L17</f>
        <v>470</v>
      </c>
      <c r="N17" s="18">
        <v>138</v>
      </c>
      <c r="O17" s="18">
        <v>0</v>
      </c>
      <c r="P17" s="18">
        <v>0</v>
      </c>
      <c r="Q17" s="18">
        <v>0</v>
      </c>
      <c r="R17" s="18">
        <f t="shared" si="1"/>
        <v>138</v>
      </c>
      <c r="S17" s="18">
        <f>M17-R17</f>
        <v>332</v>
      </c>
      <c r="T17" s="20">
        <v>315541</v>
      </c>
      <c r="U17" s="20">
        <v>315541</v>
      </c>
      <c r="V17" s="10">
        <v>0</v>
      </c>
      <c r="W17" s="10">
        <f t="shared" si="2"/>
        <v>328.68854166666665</v>
      </c>
      <c r="X17" s="10">
        <f t="shared" si="3"/>
        <v>3.3114583333333485</v>
      </c>
      <c r="Y17" s="11">
        <f t="shared" si="4"/>
        <v>328.68854166666665</v>
      </c>
      <c r="Z17" s="11">
        <f t="shared" si="5"/>
        <v>0</v>
      </c>
      <c r="AA17" s="11">
        <f t="shared" si="6"/>
        <v>328.68854166666665</v>
      </c>
      <c r="AB17" s="21">
        <f>IF(OR(S17="",M17="",M17=0),"",S17/M17)</f>
        <v>0.70638297872340428</v>
      </c>
      <c r="AC17" s="21">
        <f>IF(OR(Y17="",S17="",S17=0),"",Y17/S17)</f>
        <v>0.99002572791164656</v>
      </c>
      <c r="AD17" s="21">
        <f>IF(OR(AA17="",Y17="",Y17=0),"",AA17/Y17)</f>
        <v>1</v>
      </c>
      <c r="AE17" s="13">
        <f t="shared" si="7"/>
        <v>0.69933732269503546</v>
      </c>
      <c r="AF17" s="22">
        <f t="shared" si="8"/>
        <v>0.45651186342592592</v>
      </c>
      <c r="AG17" s="23" t="s">
        <v>60</v>
      </c>
    </row>
    <row r="18" spans="1:33" ht="28.8" x14ac:dyDescent="0.3">
      <c r="A18" s="16">
        <v>45366</v>
      </c>
      <c r="B18" s="17" t="s">
        <v>74</v>
      </c>
      <c r="C18" s="17" t="s">
        <v>80</v>
      </c>
      <c r="D18" s="18">
        <v>1440</v>
      </c>
      <c r="E18" s="18">
        <v>720</v>
      </c>
      <c r="F18" s="19">
        <f>D18-E18</f>
        <v>720</v>
      </c>
      <c r="G18" s="9">
        <v>960</v>
      </c>
      <c r="H18" s="19">
        <v>0</v>
      </c>
      <c r="I18" s="19">
        <v>0</v>
      </c>
      <c r="J18" s="19">
        <v>350</v>
      </c>
      <c r="K18" s="19">
        <v>0</v>
      </c>
      <c r="L18" s="19">
        <f t="shared" si="0"/>
        <v>350</v>
      </c>
      <c r="M18" s="18">
        <f>E18-L18</f>
        <v>370</v>
      </c>
      <c r="N18" s="18">
        <v>87</v>
      </c>
      <c r="O18" s="18">
        <v>0</v>
      </c>
      <c r="P18" s="18">
        <v>0</v>
      </c>
      <c r="Q18" s="18">
        <v>0</v>
      </c>
      <c r="R18" s="18">
        <f t="shared" si="1"/>
        <v>87</v>
      </c>
      <c r="S18" s="18">
        <f>M18-R18</f>
        <v>283</v>
      </c>
      <c r="T18" s="20">
        <v>268093</v>
      </c>
      <c r="U18" s="20">
        <v>268093</v>
      </c>
      <c r="V18" s="10">
        <v>0</v>
      </c>
      <c r="W18" s="10">
        <f t="shared" si="2"/>
        <v>279.26354166666664</v>
      </c>
      <c r="X18" s="10">
        <f t="shared" si="3"/>
        <v>3.7364583333333599</v>
      </c>
      <c r="Y18" s="11">
        <f t="shared" si="4"/>
        <v>279.26354166666664</v>
      </c>
      <c r="Z18" s="11">
        <f t="shared" si="5"/>
        <v>0</v>
      </c>
      <c r="AA18" s="11">
        <f t="shared" si="6"/>
        <v>279.26354166666664</v>
      </c>
      <c r="AB18" s="21">
        <f>IF(OR(S18="",M18="",M18=0),"",S18/M18)</f>
        <v>0.76486486486486482</v>
      </c>
      <c r="AC18" s="21">
        <f>IF(OR(Y18="",S18="",S18=0),"",Y18/S18)</f>
        <v>0.98679696702002351</v>
      </c>
      <c r="AD18" s="21">
        <f>IF(OR(AA18="",Y18="",Y18=0),"",AA18/Y18)</f>
        <v>1</v>
      </c>
      <c r="AE18" s="13">
        <f t="shared" si="7"/>
        <v>0.75476632882882877</v>
      </c>
      <c r="AF18" s="22">
        <f t="shared" si="8"/>
        <v>0.38786603009259257</v>
      </c>
      <c r="AG18" s="23" t="s">
        <v>61</v>
      </c>
    </row>
    <row r="19" spans="1:33" ht="100.8" x14ac:dyDescent="0.3">
      <c r="A19" s="16">
        <v>45367</v>
      </c>
      <c r="B19" s="17" t="s">
        <v>74</v>
      </c>
      <c r="C19" s="17">
        <v>25012</v>
      </c>
      <c r="D19" s="18">
        <v>1440</v>
      </c>
      <c r="E19" s="18">
        <v>360</v>
      </c>
      <c r="F19" s="19">
        <f>D19-E19</f>
        <v>1080</v>
      </c>
      <c r="G19" s="9">
        <v>960</v>
      </c>
      <c r="H19" s="19">
        <v>0</v>
      </c>
      <c r="I19" s="19">
        <v>0</v>
      </c>
      <c r="J19" s="19">
        <v>85</v>
      </c>
      <c r="K19" s="19">
        <v>0</v>
      </c>
      <c r="L19" s="19">
        <f t="shared" si="0"/>
        <v>85</v>
      </c>
      <c r="M19" s="18">
        <f>E19-L19</f>
        <v>275</v>
      </c>
      <c r="N19" s="18">
        <v>89</v>
      </c>
      <c r="O19" s="18">
        <v>0</v>
      </c>
      <c r="P19" s="18">
        <v>0</v>
      </c>
      <c r="Q19" s="18">
        <v>0</v>
      </c>
      <c r="R19" s="18">
        <f t="shared" si="1"/>
        <v>89</v>
      </c>
      <c r="S19" s="18">
        <f>M19-R19</f>
        <v>186</v>
      </c>
      <c r="T19" s="20">
        <v>177767</v>
      </c>
      <c r="U19" s="20">
        <v>177767</v>
      </c>
      <c r="V19" s="10">
        <v>0</v>
      </c>
      <c r="W19" s="10">
        <f t="shared" si="2"/>
        <v>185.17395833333333</v>
      </c>
      <c r="X19" s="10">
        <f t="shared" si="3"/>
        <v>0.82604166666666856</v>
      </c>
      <c r="Y19" s="11">
        <f t="shared" si="4"/>
        <v>185.17395833333333</v>
      </c>
      <c r="Z19" s="11">
        <f t="shared" si="5"/>
        <v>0</v>
      </c>
      <c r="AA19" s="11">
        <f t="shared" si="6"/>
        <v>185.17395833333333</v>
      </c>
      <c r="AB19" s="21">
        <f>IF(OR(S19="",M19="",M19=0),"",S19/M19)</f>
        <v>0.67636363636363639</v>
      </c>
      <c r="AC19" s="21">
        <f>IF(OR(Y19="",S19="",S19=0),"",Y19/S19)</f>
        <v>0.99555891577060929</v>
      </c>
      <c r="AD19" s="21">
        <f>IF(OR(AA19="",Y19="",Y19=0),"",AA19/Y19)</f>
        <v>1</v>
      </c>
      <c r="AE19" s="13">
        <f t="shared" si="7"/>
        <v>0.67335984848484853</v>
      </c>
      <c r="AF19" s="22">
        <f t="shared" si="8"/>
        <v>0.51437210648148146</v>
      </c>
      <c r="AG19" s="23" t="s">
        <v>63</v>
      </c>
    </row>
    <row r="20" spans="1:33" x14ac:dyDescent="0.3">
      <c r="A20" s="7">
        <v>45368</v>
      </c>
      <c r="B20" s="8" t="s">
        <v>55</v>
      </c>
      <c r="C20" s="8">
        <v>25007</v>
      </c>
      <c r="D20" s="9">
        <v>1440</v>
      </c>
      <c r="E20" s="9">
        <v>720</v>
      </c>
      <c r="F20" s="9">
        <f>D20-E20</f>
        <v>720</v>
      </c>
      <c r="G20" s="9">
        <v>960</v>
      </c>
      <c r="H20" s="9">
        <v>0</v>
      </c>
      <c r="I20" s="9">
        <v>0</v>
      </c>
      <c r="J20" s="9">
        <v>265</v>
      </c>
      <c r="K20" s="9">
        <v>0</v>
      </c>
      <c r="L20" s="9">
        <f t="shared" si="0"/>
        <v>265</v>
      </c>
      <c r="M20" s="9">
        <f>E20-L20</f>
        <v>455</v>
      </c>
      <c r="N20" s="9">
        <v>102</v>
      </c>
      <c r="O20" s="9">
        <v>0</v>
      </c>
      <c r="P20" s="9">
        <v>0</v>
      </c>
      <c r="Q20" s="9">
        <v>125</v>
      </c>
      <c r="R20" s="9">
        <f t="shared" si="1"/>
        <v>227</v>
      </c>
      <c r="S20" s="9">
        <f>M20-R20</f>
        <v>228</v>
      </c>
      <c r="T20" s="10">
        <v>216749</v>
      </c>
      <c r="U20" s="10">
        <v>216749</v>
      </c>
      <c r="V20" s="10">
        <v>0</v>
      </c>
      <c r="W20" s="10">
        <f t="shared" si="2"/>
        <v>225.78020833333332</v>
      </c>
      <c r="X20" s="10">
        <f t="shared" si="3"/>
        <v>2.2197916666666799</v>
      </c>
      <c r="Y20" s="11">
        <f t="shared" si="4"/>
        <v>225.78020833333332</v>
      </c>
      <c r="Z20" s="11">
        <f t="shared" si="5"/>
        <v>0</v>
      </c>
      <c r="AA20" s="11">
        <f t="shared" si="6"/>
        <v>225.78020833333332</v>
      </c>
      <c r="AB20" s="12">
        <f>IF(OR(S20="",M20="",M20=0),"",S20/M20)</f>
        <v>0.50109890109890109</v>
      </c>
      <c r="AC20" s="12">
        <f>IF(OR(Y20="",S20="",S20=0),"",Y20/S20)</f>
        <v>0.9902640716374268</v>
      </c>
      <c r="AD20" s="12">
        <f>IF(OR(AA20="",Y20="",Y20=0),"",AA20/Y20)</f>
        <v>1</v>
      </c>
      <c r="AE20" s="13">
        <f t="shared" si="7"/>
        <v>0.49622023809523808</v>
      </c>
      <c r="AF20" s="14">
        <f t="shared" si="8"/>
        <v>0.31358362268518519</v>
      </c>
      <c r="AG20" s="15" t="s">
        <v>53</v>
      </c>
    </row>
    <row r="21" spans="1:33" x14ac:dyDescent="0.3">
      <c r="A21" s="7">
        <v>45369</v>
      </c>
      <c r="B21" s="8" t="s">
        <v>55</v>
      </c>
      <c r="C21" s="8" t="s">
        <v>81</v>
      </c>
      <c r="D21" s="9">
        <v>1440</v>
      </c>
      <c r="E21" s="9">
        <v>780</v>
      </c>
      <c r="F21" s="9">
        <f>D21-E21</f>
        <v>660</v>
      </c>
      <c r="G21" s="9">
        <v>960</v>
      </c>
      <c r="H21" s="9">
        <v>0</v>
      </c>
      <c r="I21" s="9">
        <v>0</v>
      </c>
      <c r="J21" s="9">
        <v>303</v>
      </c>
      <c r="K21" s="9">
        <v>0</v>
      </c>
      <c r="L21" s="9">
        <f t="shared" si="0"/>
        <v>303</v>
      </c>
      <c r="M21" s="9">
        <f>E21-L21</f>
        <v>477</v>
      </c>
      <c r="N21" s="9">
        <v>45</v>
      </c>
      <c r="O21" s="9">
        <v>0</v>
      </c>
      <c r="P21" s="9">
        <v>0</v>
      </c>
      <c r="Q21" s="9">
        <v>0</v>
      </c>
      <c r="R21" s="9">
        <f t="shared" si="1"/>
        <v>45</v>
      </c>
      <c r="S21" s="9">
        <f>M21-R21</f>
        <v>432</v>
      </c>
      <c r="T21" s="10">
        <v>411780</v>
      </c>
      <c r="U21" s="10">
        <v>411780</v>
      </c>
      <c r="V21" s="10">
        <v>0</v>
      </c>
      <c r="W21" s="10">
        <f t="shared" si="2"/>
        <v>428.9375</v>
      </c>
      <c r="X21" s="10">
        <f t="shared" si="3"/>
        <v>3.0625</v>
      </c>
      <c r="Y21" s="11">
        <f t="shared" si="4"/>
        <v>428.9375</v>
      </c>
      <c r="Z21" s="11">
        <f t="shared" si="5"/>
        <v>0</v>
      </c>
      <c r="AA21" s="11">
        <f t="shared" si="6"/>
        <v>428.9375</v>
      </c>
      <c r="AB21" s="12">
        <f>IF(OR(S21="",M21="",M21=0),"",S21/M21)</f>
        <v>0.90566037735849059</v>
      </c>
      <c r="AC21" s="12">
        <f>IF(OR(Y21="",S21="",S21=0),"",Y21/S21)</f>
        <v>0.99291087962962965</v>
      </c>
      <c r="AD21" s="12">
        <f>IF(OR(AA21="",Y21="",Y21=0),"",AA21/Y21)</f>
        <v>1</v>
      </c>
      <c r="AE21" s="13">
        <f t="shared" si="7"/>
        <v>0.8992400419287212</v>
      </c>
      <c r="AF21" s="14">
        <f t="shared" si="8"/>
        <v>0.54991987179487178</v>
      </c>
      <c r="AG21" s="15"/>
    </row>
    <row r="22" spans="1:33" x14ac:dyDescent="0.3">
      <c r="A22" s="16">
        <v>45370</v>
      </c>
      <c r="B22" s="17" t="s">
        <v>55</v>
      </c>
      <c r="C22" s="17" t="s">
        <v>82</v>
      </c>
      <c r="D22" s="18">
        <v>1440</v>
      </c>
      <c r="E22" s="18">
        <v>750</v>
      </c>
      <c r="F22" s="19">
        <f>D22-E22</f>
        <v>690</v>
      </c>
      <c r="G22" s="9">
        <v>960</v>
      </c>
      <c r="H22" s="19">
        <v>0</v>
      </c>
      <c r="I22" s="19">
        <v>0</v>
      </c>
      <c r="J22" s="19">
        <v>308</v>
      </c>
      <c r="K22" s="19">
        <v>0</v>
      </c>
      <c r="L22" s="19">
        <f t="shared" si="0"/>
        <v>308</v>
      </c>
      <c r="M22" s="18">
        <f>E22-L22</f>
        <v>442</v>
      </c>
      <c r="N22" s="18">
        <v>0</v>
      </c>
      <c r="O22" s="18">
        <v>0</v>
      </c>
      <c r="P22" s="18">
        <v>0</v>
      </c>
      <c r="Q22" s="18">
        <v>0</v>
      </c>
      <c r="R22" s="18">
        <f t="shared" si="1"/>
        <v>0</v>
      </c>
      <c r="S22" s="18">
        <f>M22-R22</f>
        <v>442</v>
      </c>
      <c r="T22" s="20">
        <v>421559</v>
      </c>
      <c r="U22" s="20">
        <v>421559</v>
      </c>
      <c r="V22" s="10">
        <v>0</v>
      </c>
      <c r="W22" s="10">
        <f t="shared" si="2"/>
        <v>439.12395833333335</v>
      </c>
      <c r="X22" s="10">
        <f t="shared" si="3"/>
        <v>2.8760416666666515</v>
      </c>
      <c r="Y22" s="11">
        <f t="shared" si="4"/>
        <v>439.12395833333335</v>
      </c>
      <c r="Z22" s="11">
        <f t="shared" si="5"/>
        <v>0</v>
      </c>
      <c r="AA22" s="11">
        <f t="shared" si="6"/>
        <v>439.12395833333335</v>
      </c>
      <c r="AB22" s="21">
        <f>IF(OR(S22="",M22="",M22=0),"",S22/M22)</f>
        <v>1</v>
      </c>
      <c r="AC22" s="21">
        <f>IF(OR(Y22="",S22="",S22=0),"",Y22/S22)</f>
        <v>0.99349311840120669</v>
      </c>
      <c r="AD22" s="21">
        <f>IF(OR(AA22="",Y22="",Y22=0),"",AA22/Y22)</f>
        <v>1</v>
      </c>
      <c r="AE22" s="13">
        <f t="shared" si="7"/>
        <v>0.99349311840120669</v>
      </c>
      <c r="AF22" s="22">
        <f t="shared" si="8"/>
        <v>0.58549861111111112</v>
      </c>
      <c r="AG22" s="23" t="s">
        <v>57</v>
      </c>
    </row>
    <row r="23" spans="1:33" ht="100.8" x14ac:dyDescent="0.3">
      <c r="A23" s="16">
        <v>45371</v>
      </c>
      <c r="B23" s="17"/>
      <c r="C23" s="17"/>
      <c r="D23" s="18">
        <v>1440</v>
      </c>
      <c r="E23" s="18">
        <v>0</v>
      </c>
      <c r="F23" s="19">
        <f>D23-E23</f>
        <v>1440</v>
      </c>
      <c r="G23" s="9">
        <v>960</v>
      </c>
      <c r="H23" s="19">
        <v>0</v>
      </c>
      <c r="I23" s="19">
        <v>0</v>
      </c>
      <c r="J23" s="19">
        <v>0</v>
      </c>
      <c r="K23" s="19">
        <v>0</v>
      </c>
      <c r="L23" s="19">
        <f t="shared" si="0"/>
        <v>0</v>
      </c>
      <c r="M23" s="18">
        <f>E23-L23</f>
        <v>0</v>
      </c>
      <c r="N23" s="18">
        <v>0</v>
      </c>
      <c r="O23" s="18">
        <v>0</v>
      </c>
      <c r="P23" s="18">
        <v>0</v>
      </c>
      <c r="Q23" s="18">
        <v>0</v>
      </c>
      <c r="R23" s="18">
        <f t="shared" si="1"/>
        <v>0</v>
      </c>
      <c r="S23" s="18">
        <f>M23-R23</f>
        <v>0</v>
      </c>
      <c r="T23" s="20">
        <v>0</v>
      </c>
      <c r="U23" s="20">
        <v>0</v>
      </c>
      <c r="V23" s="10">
        <v>0</v>
      </c>
      <c r="W23" s="10">
        <f t="shared" si="2"/>
        <v>0</v>
      </c>
      <c r="X23" s="10">
        <f t="shared" si="3"/>
        <v>0</v>
      </c>
      <c r="Y23" s="11">
        <f t="shared" si="4"/>
        <v>0</v>
      </c>
      <c r="Z23" s="11">
        <f t="shared" si="5"/>
        <v>0</v>
      </c>
      <c r="AA23" s="11">
        <f t="shared" si="6"/>
        <v>0</v>
      </c>
      <c r="AB23" s="21" t="str">
        <f>IF(OR(S23="",M23="",M23=0),"",S23/M23)</f>
        <v/>
      </c>
      <c r="AC23" s="21" t="str">
        <f>IF(OR(Y23="",S23="",S23=0),"",Y23/S23)</f>
        <v/>
      </c>
      <c r="AD23" s="21" t="str">
        <f>IF(OR(AA23="",Y23="",Y23=0),"",AA23/Y23)</f>
        <v/>
      </c>
      <c r="AE23" s="13">
        <f t="shared" si="7"/>
        <v>0</v>
      </c>
      <c r="AF23" s="22">
        <f t="shared" si="8"/>
        <v>0</v>
      </c>
      <c r="AG23" s="23" t="s">
        <v>65</v>
      </c>
    </row>
    <row r="24" spans="1:33" x14ac:dyDescent="0.3">
      <c r="A24" s="16">
        <v>45372</v>
      </c>
      <c r="B24" s="17"/>
      <c r="C24" s="17"/>
      <c r="D24" s="18">
        <v>1440</v>
      </c>
      <c r="E24" s="18">
        <v>540</v>
      </c>
      <c r="F24" s="19">
        <f>D24-E24</f>
        <v>900</v>
      </c>
      <c r="G24" s="9">
        <v>960</v>
      </c>
      <c r="H24" s="19">
        <v>60</v>
      </c>
      <c r="I24" s="19">
        <v>120</v>
      </c>
      <c r="J24" s="19">
        <v>360</v>
      </c>
      <c r="K24" s="19">
        <v>0</v>
      </c>
      <c r="L24" s="19">
        <f t="shared" si="0"/>
        <v>540</v>
      </c>
      <c r="M24" s="18">
        <f>E24-L24</f>
        <v>0</v>
      </c>
      <c r="N24" s="18">
        <v>0</v>
      </c>
      <c r="O24" s="18">
        <v>0</v>
      </c>
      <c r="P24" s="18">
        <v>0</v>
      </c>
      <c r="Q24" s="18">
        <v>0</v>
      </c>
      <c r="R24" s="18">
        <f t="shared" si="1"/>
        <v>0</v>
      </c>
      <c r="S24" s="18">
        <f>M24-R24</f>
        <v>0</v>
      </c>
      <c r="T24" s="20">
        <v>0</v>
      </c>
      <c r="U24" s="20">
        <v>0</v>
      </c>
      <c r="V24" s="10">
        <v>0</v>
      </c>
      <c r="W24" s="10">
        <f t="shared" si="2"/>
        <v>0</v>
      </c>
      <c r="X24" s="10">
        <f t="shared" si="3"/>
        <v>0</v>
      </c>
      <c r="Y24" s="11">
        <f t="shared" si="4"/>
        <v>0</v>
      </c>
      <c r="Z24" s="11">
        <f t="shared" si="5"/>
        <v>0</v>
      </c>
      <c r="AA24" s="11">
        <f t="shared" si="6"/>
        <v>0</v>
      </c>
      <c r="AB24" s="21" t="str">
        <f>IF(OR(S24="",M24="",M24=0),"",S24/M24)</f>
        <v/>
      </c>
      <c r="AC24" s="21" t="str">
        <f>IF(OR(Y24="",S24="",S24=0),"",Y24/S24)</f>
        <v/>
      </c>
      <c r="AD24" s="21" t="str">
        <f>IF(OR(AA24="",Y24="",Y24=0),"",AA24/Y24)</f>
        <v/>
      </c>
      <c r="AE24" s="13">
        <f t="shared" si="7"/>
        <v>0</v>
      </c>
      <c r="AF24" s="22">
        <f t="shared" si="8"/>
        <v>0</v>
      </c>
      <c r="AG24" s="23" t="s">
        <v>57</v>
      </c>
    </row>
    <row r="25" spans="1:33" ht="86.4" x14ac:dyDescent="0.3">
      <c r="A25" s="16">
        <v>45373</v>
      </c>
      <c r="B25" s="17" t="s">
        <v>64</v>
      </c>
      <c r="C25" s="17">
        <v>25010</v>
      </c>
      <c r="D25" s="18">
        <v>1440</v>
      </c>
      <c r="E25" s="18">
        <v>690</v>
      </c>
      <c r="F25" s="19">
        <f>D25-E25</f>
        <v>750</v>
      </c>
      <c r="G25" s="9">
        <v>960</v>
      </c>
      <c r="H25" s="19">
        <v>0</v>
      </c>
      <c r="I25" s="19">
        <v>0</v>
      </c>
      <c r="J25" s="19">
        <v>320</v>
      </c>
      <c r="K25" s="19">
        <v>0</v>
      </c>
      <c r="L25" s="19">
        <f t="shared" si="0"/>
        <v>320</v>
      </c>
      <c r="M25" s="18">
        <f>E25-L25</f>
        <v>370</v>
      </c>
      <c r="N25" s="18">
        <v>0</v>
      </c>
      <c r="O25" s="18">
        <v>0</v>
      </c>
      <c r="P25" s="18">
        <v>0</v>
      </c>
      <c r="Q25" s="18">
        <v>0</v>
      </c>
      <c r="R25" s="18">
        <f t="shared" si="1"/>
        <v>0</v>
      </c>
      <c r="S25" s="18">
        <f>M25-R25</f>
        <v>370</v>
      </c>
      <c r="T25" s="20">
        <v>353522</v>
      </c>
      <c r="U25" s="20">
        <v>353522</v>
      </c>
      <c r="V25" s="10">
        <v>0</v>
      </c>
      <c r="W25" s="10">
        <f t="shared" si="2"/>
        <v>368.25208333333336</v>
      </c>
      <c r="X25" s="10">
        <f t="shared" si="3"/>
        <v>1.7479166666666401</v>
      </c>
      <c r="Y25" s="11">
        <f t="shared" si="4"/>
        <v>368.25208333333336</v>
      </c>
      <c r="Z25" s="11">
        <f t="shared" si="5"/>
        <v>0</v>
      </c>
      <c r="AA25" s="11">
        <f t="shared" si="6"/>
        <v>368.25208333333336</v>
      </c>
      <c r="AB25" s="21">
        <f>IF(OR(S25="",M25="",M25=0),"",S25/M25)</f>
        <v>1</v>
      </c>
      <c r="AC25" s="21">
        <f>IF(OR(Y25="",S25="",S25=0),"",Y25/S25)</f>
        <v>0.99527590090090101</v>
      </c>
      <c r="AD25" s="21">
        <f>IF(OR(AA25="",Y25="",Y25=0),"",AA25/Y25)</f>
        <v>1</v>
      </c>
      <c r="AE25" s="13">
        <f t="shared" si="7"/>
        <v>0.99527590090090101</v>
      </c>
      <c r="AF25" s="22">
        <f t="shared" si="8"/>
        <v>0.53369867149758454</v>
      </c>
      <c r="AG25" s="23" t="s">
        <v>66</v>
      </c>
    </row>
    <row r="26" spans="1:33" ht="144" x14ac:dyDescent="0.3">
      <c r="A26" s="16">
        <v>45374</v>
      </c>
      <c r="B26" s="17"/>
      <c r="C26" s="17"/>
      <c r="D26" s="18">
        <v>1440</v>
      </c>
      <c r="E26" s="18">
        <v>0</v>
      </c>
      <c r="F26" s="19">
        <f>D26-E26</f>
        <v>1440</v>
      </c>
      <c r="G26" s="9">
        <v>960</v>
      </c>
      <c r="H26" s="19">
        <v>0</v>
      </c>
      <c r="I26" s="19">
        <v>0</v>
      </c>
      <c r="J26" s="19">
        <v>0</v>
      </c>
      <c r="K26" s="19">
        <v>0</v>
      </c>
      <c r="L26" s="19">
        <f t="shared" si="0"/>
        <v>0</v>
      </c>
      <c r="M26" s="18">
        <f>E26-L26</f>
        <v>0</v>
      </c>
      <c r="N26" s="18">
        <v>0</v>
      </c>
      <c r="O26" s="18">
        <v>0</v>
      </c>
      <c r="P26" s="18">
        <v>0</v>
      </c>
      <c r="Q26" s="18">
        <v>0</v>
      </c>
      <c r="R26" s="18">
        <f t="shared" si="1"/>
        <v>0</v>
      </c>
      <c r="S26" s="18">
        <f>M26-R26</f>
        <v>0</v>
      </c>
      <c r="T26" s="20">
        <v>0</v>
      </c>
      <c r="U26" s="20">
        <v>0</v>
      </c>
      <c r="V26" s="10">
        <v>0</v>
      </c>
      <c r="W26" s="10">
        <f t="shared" si="2"/>
        <v>0</v>
      </c>
      <c r="X26" s="10">
        <f t="shared" si="3"/>
        <v>0</v>
      </c>
      <c r="Y26" s="11">
        <f t="shared" si="4"/>
        <v>0</v>
      </c>
      <c r="Z26" s="11">
        <f t="shared" si="5"/>
        <v>0</v>
      </c>
      <c r="AA26" s="11">
        <f t="shared" si="6"/>
        <v>0</v>
      </c>
      <c r="AB26" s="21" t="str">
        <f>IF(OR(S26="",M26="",M26=0),"",S26/M26)</f>
        <v/>
      </c>
      <c r="AC26" s="21" t="str">
        <f>IF(OR(Y26="",S26="",S26=0),"",Y26/S26)</f>
        <v/>
      </c>
      <c r="AD26" s="21" t="str">
        <f>IF(OR(AA26="",Y26="",Y26=0),"",AA26/Y26)</f>
        <v/>
      </c>
      <c r="AE26" s="13">
        <f t="shared" si="7"/>
        <v>0</v>
      </c>
      <c r="AF26" s="22">
        <f t="shared" si="8"/>
        <v>0</v>
      </c>
      <c r="AG26" s="23" t="s">
        <v>67</v>
      </c>
    </row>
    <row r="27" spans="1:33" x14ac:dyDescent="0.3">
      <c r="A27" s="7">
        <v>45375</v>
      </c>
      <c r="B27" s="8"/>
      <c r="C27" s="8"/>
      <c r="D27" s="9">
        <v>1440</v>
      </c>
      <c r="E27" s="9">
        <v>360</v>
      </c>
      <c r="F27" s="9">
        <f>D27-E27</f>
        <v>1080</v>
      </c>
      <c r="G27" s="9">
        <v>960</v>
      </c>
      <c r="H27" s="9">
        <v>0</v>
      </c>
      <c r="I27" s="9">
        <v>0</v>
      </c>
      <c r="J27" s="9">
        <v>0</v>
      </c>
      <c r="K27" s="9">
        <v>360</v>
      </c>
      <c r="L27" s="9">
        <f t="shared" si="0"/>
        <v>360</v>
      </c>
      <c r="M27" s="9">
        <f>E27-L27</f>
        <v>0</v>
      </c>
      <c r="N27" s="9">
        <v>0</v>
      </c>
      <c r="O27" s="9">
        <v>0</v>
      </c>
      <c r="P27" s="9">
        <v>0</v>
      </c>
      <c r="Q27" s="9">
        <v>0</v>
      </c>
      <c r="R27" s="9">
        <f t="shared" si="1"/>
        <v>0</v>
      </c>
      <c r="S27" s="9">
        <f>M27-R27</f>
        <v>0</v>
      </c>
      <c r="T27" s="10">
        <v>0</v>
      </c>
      <c r="U27" s="10">
        <v>0</v>
      </c>
      <c r="V27" s="10">
        <v>0</v>
      </c>
      <c r="W27" s="10">
        <f t="shared" si="2"/>
        <v>0</v>
      </c>
      <c r="X27" s="10">
        <f t="shared" si="3"/>
        <v>0</v>
      </c>
      <c r="Y27" s="11">
        <f t="shared" si="4"/>
        <v>0</v>
      </c>
      <c r="Z27" s="11">
        <f t="shared" si="5"/>
        <v>0</v>
      </c>
      <c r="AA27" s="11">
        <f t="shared" si="6"/>
        <v>0</v>
      </c>
      <c r="AB27" s="12" t="str">
        <f>IF(OR(S27="",M27="",M27=0),"",S27/M27)</f>
        <v/>
      </c>
      <c r="AC27" s="12" t="str">
        <f>IF(OR(Y27="",S27="",S27=0),"",Y27/S27)</f>
        <v/>
      </c>
      <c r="AD27" s="12" t="str">
        <f>IF(OR(AA27="",Y27="",Y27=0),"",AA27/Y27)</f>
        <v/>
      </c>
      <c r="AE27" s="13">
        <f t="shared" si="7"/>
        <v>0</v>
      </c>
      <c r="AF27" s="14">
        <f t="shared" si="8"/>
        <v>0</v>
      </c>
      <c r="AG27" s="15" t="s">
        <v>53</v>
      </c>
    </row>
    <row r="28" spans="1:33" x14ac:dyDescent="0.3">
      <c r="A28" s="7">
        <v>45376</v>
      </c>
      <c r="B28" s="8" t="s">
        <v>64</v>
      </c>
      <c r="C28" s="8" t="s">
        <v>83</v>
      </c>
      <c r="D28" s="9">
        <v>1440</v>
      </c>
      <c r="E28" s="9">
        <v>735</v>
      </c>
      <c r="F28" s="9">
        <f>D28-E28</f>
        <v>705</v>
      </c>
      <c r="G28" s="9">
        <v>960</v>
      </c>
      <c r="H28" s="9">
        <v>0</v>
      </c>
      <c r="I28" s="9">
        <v>0</v>
      </c>
      <c r="J28" s="9">
        <v>258</v>
      </c>
      <c r="K28" s="9">
        <v>0</v>
      </c>
      <c r="L28" s="9">
        <f t="shared" si="0"/>
        <v>258</v>
      </c>
      <c r="M28" s="9">
        <f>E28-L28</f>
        <v>477</v>
      </c>
      <c r="N28" s="9">
        <v>0</v>
      </c>
      <c r="O28" s="9">
        <v>0</v>
      </c>
      <c r="P28" s="9">
        <v>0</v>
      </c>
      <c r="Q28" s="9">
        <v>0</v>
      </c>
      <c r="R28" s="9">
        <f t="shared" si="1"/>
        <v>0</v>
      </c>
      <c r="S28" s="9">
        <f>M28-R28</f>
        <v>477</v>
      </c>
      <c r="T28" s="10">
        <v>454795</v>
      </c>
      <c r="U28" s="10">
        <v>454795</v>
      </c>
      <c r="V28" s="10">
        <v>0</v>
      </c>
      <c r="W28" s="10">
        <f t="shared" si="2"/>
        <v>473.74479166666669</v>
      </c>
      <c r="X28" s="10">
        <f t="shared" si="3"/>
        <v>3.2552083333333144</v>
      </c>
      <c r="Y28" s="11">
        <f t="shared" si="4"/>
        <v>473.74479166666669</v>
      </c>
      <c r="Z28" s="11">
        <f t="shared" si="5"/>
        <v>0</v>
      </c>
      <c r="AA28" s="11">
        <f t="shared" si="6"/>
        <v>473.74479166666669</v>
      </c>
      <c r="AB28" s="12">
        <f>IF(OR(S28="",M28="",M28=0),"",S28/M28)</f>
        <v>1</v>
      </c>
      <c r="AC28" s="12">
        <f>IF(OR(Y28="",S28="",S28=0),"",Y28/S28)</f>
        <v>0.99317566387141865</v>
      </c>
      <c r="AD28" s="12">
        <f>IF(OR(AA28="",Y28="",Y28=0),"",AA28/Y28)</f>
        <v>1</v>
      </c>
      <c r="AE28" s="13">
        <f t="shared" si="7"/>
        <v>0.99317566387141865</v>
      </c>
      <c r="AF28" s="14">
        <f t="shared" si="8"/>
        <v>0.64455073696145126</v>
      </c>
      <c r="AG28" s="15"/>
    </row>
    <row r="29" spans="1:33" ht="144" x14ac:dyDescent="0.3">
      <c r="A29" s="16">
        <v>45377</v>
      </c>
      <c r="B29" s="17" t="s">
        <v>64</v>
      </c>
      <c r="C29" s="17">
        <v>25012</v>
      </c>
      <c r="D29" s="18">
        <v>1440</v>
      </c>
      <c r="E29" s="18">
        <v>360</v>
      </c>
      <c r="F29" s="19">
        <f>D29-E29</f>
        <v>1080</v>
      </c>
      <c r="G29" s="9">
        <v>960</v>
      </c>
      <c r="H29" s="19">
        <v>0</v>
      </c>
      <c r="I29" s="19">
        <v>0</v>
      </c>
      <c r="J29" s="19">
        <v>96</v>
      </c>
      <c r="K29" s="19">
        <v>0</v>
      </c>
      <c r="L29" s="19">
        <f t="shared" si="0"/>
        <v>96</v>
      </c>
      <c r="M29" s="18">
        <f>E29-L29</f>
        <v>264</v>
      </c>
      <c r="N29" s="18">
        <v>0</v>
      </c>
      <c r="O29" s="18">
        <v>0</v>
      </c>
      <c r="P29" s="18">
        <v>0</v>
      </c>
      <c r="Q29" s="18">
        <v>0</v>
      </c>
      <c r="R29" s="18">
        <f t="shared" si="1"/>
        <v>0</v>
      </c>
      <c r="S29" s="18">
        <f>M29-R29</f>
        <v>264</v>
      </c>
      <c r="T29" s="20">
        <v>252469</v>
      </c>
      <c r="U29" s="20">
        <v>252469</v>
      </c>
      <c r="V29" s="10">
        <v>0</v>
      </c>
      <c r="W29" s="10">
        <f t="shared" si="2"/>
        <v>262.98854166666666</v>
      </c>
      <c r="X29" s="10">
        <f t="shared" si="3"/>
        <v>1.0114583333333371</v>
      </c>
      <c r="Y29" s="11">
        <f t="shared" si="4"/>
        <v>262.98854166666666</v>
      </c>
      <c r="Z29" s="11">
        <f t="shared" si="5"/>
        <v>0</v>
      </c>
      <c r="AA29" s="11">
        <f t="shared" si="6"/>
        <v>262.98854166666666</v>
      </c>
      <c r="AB29" s="21">
        <f>IF(OR(S29="",M29="",M29=0),"",S29/M29)</f>
        <v>1</v>
      </c>
      <c r="AC29" s="21">
        <f>IF(OR(Y29="",S29="",S29=0),"",Y29/S29)</f>
        <v>0.9961687184343434</v>
      </c>
      <c r="AD29" s="21">
        <f>IF(OR(AA29="",Y29="",Y29=0),"",AA29/Y29)</f>
        <v>1</v>
      </c>
      <c r="AE29" s="13">
        <f t="shared" si="7"/>
        <v>0.9961687184343434</v>
      </c>
      <c r="AF29" s="22">
        <f t="shared" si="8"/>
        <v>0.73052372685185185</v>
      </c>
      <c r="AG29" s="23" t="s">
        <v>67</v>
      </c>
    </row>
    <row r="30" spans="1:33" x14ac:dyDescent="0.3">
      <c r="A30" s="16">
        <v>45378</v>
      </c>
      <c r="B30" s="17" t="s">
        <v>64</v>
      </c>
      <c r="C30" s="17">
        <v>25013</v>
      </c>
      <c r="D30" s="18">
        <v>1440</v>
      </c>
      <c r="E30" s="18">
        <v>510</v>
      </c>
      <c r="F30" s="19">
        <f>D30-E30</f>
        <v>930</v>
      </c>
      <c r="G30" s="9">
        <v>960</v>
      </c>
      <c r="H30" s="19">
        <v>0</v>
      </c>
      <c r="I30" s="19">
        <v>0</v>
      </c>
      <c r="J30" s="19">
        <v>199</v>
      </c>
      <c r="K30" s="19">
        <v>0</v>
      </c>
      <c r="L30" s="19">
        <f t="shared" si="0"/>
        <v>199</v>
      </c>
      <c r="M30" s="18">
        <f>E30-L30</f>
        <v>311</v>
      </c>
      <c r="N30" s="18">
        <v>0</v>
      </c>
      <c r="O30" s="18">
        <v>0</v>
      </c>
      <c r="P30" s="18">
        <v>0</v>
      </c>
      <c r="Q30" s="18">
        <v>0</v>
      </c>
      <c r="R30" s="18">
        <f t="shared" si="1"/>
        <v>0</v>
      </c>
      <c r="S30" s="18">
        <f>M30-R30</f>
        <v>311</v>
      </c>
      <c r="T30" s="20">
        <v>296513</v>
      </c>
      <c r="U30" s="20">
        <v>296513</v>
      </c>
      <c r="V30" s="10">
        <v>0</v>
      </c>
      <c r="W30" s="10">
        <f t="shared" si="2"/>
        <v>308.86770833333333</v>
      </c>
      <c r="X30" s="10">
        <f t="shared" si="3"/>
        <v>2.1322916666666742</v>
      </c>
      <c r="Y30" s="11">
        <f t="shared" si="4"/>
        <v>308.86770833333333</v>
      </c>
      <c r="Z30" s="11">
        <f t="shared" si="5"/>
        <v>0</v>
      </c>
      <c r="AA30" s="11">
        <f t="shared" si="6"/>
        <v>308.86770833333333</v>
      </c>
      <c r="AB30" s="21">
        <f>IF(OR(S30="",M30="",M30=0),"",S30/M30)</f>
        <v>1</v>
      </c>
      <c r="AC30" s="21">
        <f>IF(OR(Y30="",S30="",S30=0),"",Y30/S30)</f>
        <v>0.99314375669882093</v>
      </c>
      <c r="AD30" s="21">
        <f>IF(OR(AA30="",Y30="",Y30=0),"",AA30/Y30)</f>
        <v>1</v>
      </c>
      <c r="AE30" s="13">
        <f t="shared" si="7"/>
        <v>0.99314375669882093</v>
      </c>
      <c r="AF30" s="22">
        <f t="shared" si="8"/>
        <v>0.60562295751633988</v>
      </c>
      <c r="AG30" s="23"/>
    </row>
    <row r="31" spans="1:33" x14ac:dyDescent="0.3">
      <c r="A31" s="16">
        <v>45379</v>
      </c>
      <c r="B31" s="17" t="s">
        <v>64</v>
      </c>
      <c r="C31" s="17" t="s">
        <v>84</v>
      </c>
      <c r="D31" s="18">
        <v>1440</v>
      </c>
      <c r="E31" s="18">
        <v>690</v>
      </c>
      <c r="F31" s="19">
        <f>D31-E31</f>
        <v>750</v>
      </c>
      <c r="G31" s="9">
        <v>960</v>
      </c>
      <c r="H31" s="19">
        <v>0</v>
      </c>
      <c r="I31" s="19">
        <v>0</v>
      </c>
      <c r="J31" s="19">
        <v>260</v>
      </c>
      <c r="K31" s="19">
        <v>0</v>
      </c>
      <c r="L31" s="19">
        <f t="shared" si="0"/>
        <v>260</v>
      </c>
      <c r="M31" s="18">
        <f>E31-L31</f>
        <v>430</v>
      </c>
      <c r="N31" s="18">
        <v>0</v>
      </c>
      <c r="O31" s="18">
        <v>0</v>
      </c>
      <c r="P31" s="18">
        <v>0</v>
      </c>
      <c r="Q31" s="18">
        <v>0</v>
      </c>
      <c r="R31" s="18">
        <f t="shared" si="1"/>
        <v>0</v>
      </c>
      <c r="S31" s="18">
        <f>M31-R31</f>
        <v>430</v>
      </c>
      <c r="T31" s="20">
        <v>410592</v>
      </c>
      <c r="U31" s="20">
        <v>410592</v>
      </c>
      <c r="V31" s="10">
        <v>0</v>
      </c>
      <c r="W31" s="10">
        <f t="shared" si="2"/>
        <v>427.7</v>
      </c>
      <c r="X31" s="10">
        <f t="shared" si="3"/>
        <v>2.3000000000000114</v>
      </c>
      <c r="Y31" s="11">
        <f t="shared" si="4"/>
        <v>427.7</v>
      </c>
      <c r="Z31" s="11">
        <f t="shared" si="5"/>
        <v>0</v>
      </c>
      <c r="AA31" s="11">
        <f t="shared" si="6"/>
        <v>427.7</v>
      </c>
      <c r="AB31" s="21">
        <f>IF(OR(S31="",M31="",M31=0),"",S31/M31)</f>
        <v>1</v>
      </c>
      <c r="AC31" s="21">
        <f>IF(OR(Y31="",S31="",S31=0),"",Y31/S31)</f>
        <v>0.99465116279069765</v>
      </c>
      <c r="AD31" s="21">
        <f>IF(OR(AA31="",Y31="",Y31=0),"",AA31/Y31)</f>
        <v>1</v>
      </c>
      <c r="AE31" s="13">
        <f t="shared" si="7"/>
        <v>0.99465116279069765</v>
      </c>
      <c r="AF31" s="22">
        <f t="shared" si="8"/>
        <v>0.61985507246376814</v>
      </c>
      <c r="AG31" s="23" t="s">
        <v>68</v>
      </c>
    </row>
    <row r="32" spans="1:33" ht="43.2" x14ac:dyDescent="0.3">
      <c r="A32" s="16">
        <v>45380</v>
      </c>
      <c r="B32" s="17"/>
      <c r="C32" s="17"/>
      <c r="D32" s="18">
        <v>1440</v>
      </c>
      <c r="E32" s="18">
        <v>0</v>
      </c>
      <c r="F32" s="19">
        <f>D32-E32</f>
        <v>1440</v>
      </c>
      <c r="G32" s="9">
        <v>960</v>
      </c>
      <c r="H32" s="19">
        <v>0</v>
      </c>
      <c r="I32" s="19">
        <v>0</v>
      </c>
      <c r="J32" s="19">
        <v>0</v>
      </c>
      <c r="K32" s="19">
        <v>0</v>
      </c>
      <c r="L32" s="19">
        <f t="shared" si="0"/>
        <v>0</v>
      </c>
      <c r="M32" s="18">
        <f>E32-L32</f>
        <v>0</v>
      </c>
      <c r="N32" s="18">
        <v>0</v>
      </c>
      <c r="O32" s="18">
        <v>0</v>
      </c>
      <c r="P32" s="18">
        <v>0</v>
      </c>
      <c r="Q32" s="18">
        <v>0</v>
      </c>
      <c r="R32" s="18">
        <f t="shared" si="1"/>
        <v>0</v>
      </c>
      <c r="S32" s="18">
        <f>M32-R32</f>
        <v>0</v>
      </c>
      <c r="T32" s="20">
        <v>0</v>
      </c>
      <c r="U32" s="20">
        <v>0</v>
      </c>
      <c r="V32" s="10">
        <v>0</v>
      </c>
      <c r="W32" s="10">
        <f t="shared" si="2"/>
        <v>0</v>
      </c>
      <c r="X32" s="10">
        <f t="shared" si="3"/>
        <v>0</v>
      </c>
      <c r="Y32" s="11">
        <f t="shared" si="4"/>
        <v>0</v>
      </c>
      <c r="Z32" s="11">
        <f t="shared" si="5"/>
        <v>0</v>
      </c>
      <c r="AA32" s="11">
        <f t="shared" si="6"/>
        <v>0</v>
      </c>
      <c r="AB32" s="21" t="str">
        <f>IF(OR(S32="",M32="",M32=0),"",S32/M32)</f>
        <v/>
      </c>
      <c r="AC32" s="21" t="str">
        <f>IF(OR(Y32="",S32="",S32=0),"",Y32/S32)</f>
        <v/>
      </c>
      <c r="AD32" s="21" t="str">
        <f>IF(OR(AA32="",Y32="",Y32=0),"",AA32/Y32)</f>
        <v/>
      </c>
      <c r="AE32" s="13">
        <f t="shared" si="7"/>
        <v>0</v>
      </c>
      <c r="AF32" s="22">
        <f t="shared" si="8"/>
        <v>0</v>
      </c>
      <c r="AG32" s="23" t="s">
        <v>69</v>
      </c>
    </row>
    <row r="33" spans="1:33" x14ac:dyDescent="0.3">
      <c r="A33" s="16">
        <v>45381</v>
      </c>
      <c r="B33" s="17"/>
      <c r="C33" s="17"/>
      <c r="D33" s="18">
        <v>1440</v>
      </c>
      <c r="E33" s="18">
        <v>0</v>
      </c>
      <c r="F33" s="19">
        <f>D33-E33</f>
        <v>1440</v>
      </c>
      <c r="G33" s="9">
        <v>960</v>
      </c>
      <c r="H33" s="19">
        <v>0</v>
      </c>
      <c r="I33" s="19">
        <v>0</v>
      </c>
      <c r="J33" s="19">
        <v>0</v>
      </c>
      <c r="K33" s="19">
        <v>0</v>
      </c>
      <c r="L33" s="19">
        <f t="shared" si="0"/>
        <v>0</v>
      </c>
      <c r="M33" s="18">
        <f>E33-L33</f>
        <v>0</v>
      </c>
      <c r="N33" s="18">
        <v>0</v>
      </c>
      <c r="O33" s="18">
        <v>0</v>
      </c>
      <c r="P33" s="18">
        <v>0</v>
      </c>
      <c r="Q33" s="18">
        <v>0</v>
      </c>
      <c r="R33" s="18">
        <f t="shared" si="1"/>
        <v>0</v>
      </c>
      <c r="S33" s="18">
        <f>M33-R33</f>
        <v>0</v>
      </c>
      <c r="T33" s="20">
        <v>0</v>
      </c>
      <c r="U33" s="20">
        <v>0</v>
      </c>
      <c r="V33" s="10">
        <v>0</v>
      </c>
      <c r="W33" s="10">
        <f t="shared" si="2"/>
        <v>0</v>
      </c>
      <c r="X33" s="10">
        <f t="shared" si="3"/>
        <v>0</v>
      </c>
      <c r="Y33" s="11">
        <f t="shared" si="4"/>
        <v>0</v>
      </c>
      <c r="Z33" s="11">
        <f t="shared" si="5"/>
        <v>0</v>
      </c>
      <c r="AA33" s="11">
        <f t="shared" si="6"/>
        <v>0</v>
      </c>
      <c r="AB33" s="21" t="str">
        <f>IF(OR(S33="",M33="",M33=0),"",S33/M33)</f>
        <v/>
      </c>
      <c r="AC33" s="21" t="str">
        <f>IF(OR(Y33="",S33="",S33=0),"",Y33/S33)</f>
        <v/>
      </c>
      <c r="AD33" s="21" t="str">
        <f>IF(OR(AA33="",Y33="",Y33=0),"",AA33/Y33)</f>
        <v/>
      </c>
      <c r="AE33" s="13">
        <f t="shared" si="7"/>
        <v>0</v>
      </c>
      <c r="AF33" s="22">
        <f t="shared" si="8"/>
        <v>0</v>
      </c>
      <c r="AG33" s="23"/>
    </row>
    <row r="34" spans="1:33" x14ac:dyDescent="0.3">
      <c r="A34" s="16">
        <v>45382</v>
      </c>
      <c r="B34" s="17"/>
      <c r="C34" s="17"/>
      <c r="D34" s="18"/>
      <c r="E34" s="18">
        <v>0</v>
      </c>
      <c r="F34" s="19"/>
      <c r="G34" s="9"/>
      <c r="H34" s="19">
        <v>0</v>
      </c>
      <c r="I34" s="19">
        <v>0</v>
      </c>
      <c r="J34" s="19">
        <v>0</v>
      </c>
      <c r="K34" s="19">
        <v>0</v>
      </c>
      <c r="L34" s="19"/>
      <c r="M34" s="18"/>
      <c r="N34" s="18">
        <v>0</v>
      </c>
      <c r="O34" s="18">
        <v>0</v>
      </c>
      <c r="P34" s="18">
        <v>0</v>
      </c>
      <c r="Q34" s="18">
        <v>0</v>
      </c>
      <c r="R34" s="18"/>
      <c r="S34" s="18"/>
      <c r="T34" s="20">
        <v>0</v>
      </c>
      <c r="U34" s="20">
        <v>0</v>
      </c>
      <c r="V34" s="10"/>
      <c r="W34" s="10"/>
      <c r="X34" s="10"/>
      <c r="Y34" s="11"/>
      <c r="Z34" s="11"/>
      <c r="AA34" s="11"/>
      <c r="AB34" s="21"/>
      <c r="AC34" s="21"/>
      <c r="AD34" s="21"/>
      <c r="AE34" s="13"/>
      <c r="AF34" s="22"/>
      <c r="AG34" s="23"/>
    </row>
    <row r="35" spans="1:33" ht="28.8" x14ac:dyDescent="0.3">
      <c r="A35" s="24" t="s">
        <v>70</v>
      </c>
      <c r="B35" s="25"/>
      <c r="C35" s="25"/>
      <c r="D35" s="26">
        <f>SUM(D4:D33)</f>
        <v>43200</v>
      </c>
      <c r="E35" s="26">
        <f>SUM(E4:E33)</f>
        <v>13905</v>
      </c>
      <c r="F35" s="26">
        <f>SUM(F4:F33)</f>
        <v>29295</v>
      </c>
      <c r="G35" s="26"/>
      <c r="H35" s="26">
        <f>SUM(H4:H33)</f>
        <v>60</v>
      </c>
      <c r="I35" s="26"/>
      <c r="J35" s="26"/>
      <c r="K35" s="26"/>
      <c r="L35" s="26">
        <f>SUM(L4:L33)</f>
        <v>5902</v>
      </c>
      <c r="M35" s="26">
        <f>SUM(M4:M33)</f>
        <v>8003</v>
      </c>
      <c r="N35" s="26"/>
      <c r="O35" s="26"/>
      <c r="P35" s="26"/>
      <c r="Q35" s="26"/>
      <c r="R35" s="26">
        <f>SUM(R4:R33)</f>
        <v>1813</v>
      </c>
      <c r="S35" s="26">
        <f>SUM(S4:S33)</f>
        <v>6190</v>
      </c>
      <c r="T35" s="27">
        <f>SUM(T4:T33)</f>
        <v>5896606</v>
      </c>
      <c r="U35" s="27">
        <f>SUM(U4:U33)</f>
        <v>5896606</v>
      </c>
      <c r="V35" s="27">
        <f>SUM(V4:V33)</f>
        <v>0</v>
      </c>
      <c r="W35" s="27"/>
      <c r="X35" s="27"/>
      <c r="Y35" s="28">
        <f>SUM(Y4:Y33)</f>
        <v>6142.2979166666664</v>
      </c>
      <c r="Z35" s="28"/>
      <c r="AA35" s="28">
        <f>SUM(AA4:AA33)</f>
        <v>6142.2979166666664</v>
      </c>
      <c r="AB35" s="29">
        <f>IF(OR(S35="",M35="",M35=0),"",S35/M35)</f>
        <v>0.77345995251780586</v>
      </c>
      <c r="AC35" s="29">
        <f>IF(OR(Y35="",S35="",S35=0),"",Y35/S35)</f>
        <v>0.99229368605277324</v>
      </c>
      <c r="AD35" s="29">
        <f>IF(OR(AA35="",Y35="",Y35=0),"",AA35/Y35)</f>
        <v>1</v>
      </c>
      <c r="AE35" s="13">
        <f t="shared" si="7"/>
        <v>0.7674994272980965</v>
      </c>
      <c r="AF35" s="30">
        <f t="shared" si="8"/>
        <v>0.44173303967397815</v>
      </c>
      <c r="AG35" s="31" t="s">
        <v>71</v>
      </c>
    </row>
    <row r="36" spans="1:33" ht="43.2" x14ac:dyDescent="0.3">
      <c r="A36" s="32" t="s">
        <v>72</v>
      </c>
      <c r="B36" s="33"/>
      <c r="C36" s="33"/>
      <c r="D36" s="34">
        <f>D35/60</f>
        <v>720</v>
      </c>
      <c r="E36" s="34">
        <f>E35/60</f>
        <v>231.75</v>
      </c>
      <c r="F36" s="34">
        <f>F35/60</f>
        <v>488.25</v>
      </c>
      <c r="G36" s="34"/>
      <c r="H36" s="34"/>
      <c r="I36" s="34"/>
      <c r="J36" s="34"/>
      <c r="K36" s="34"/>
      <c r="L36" s="34">
        <f>L35/60</f>
        <v>98.36666666666666</v>
      </c>
      <c r="M36" s="34">
        <f>M35/60</f>
        <v>133.38333333333333</v>
      </c>
      <c r="N36" s="34"/>
      <c r="O36" s="34"/>
      <c r="P36" s="34"/>
      <c r="Q36" s="34"/>
      <c r="R36" s="34">
        <f>R35/60</f>
        <v>30.216666666666665</v>
      </c>
      <c r="S36" s="34">
        <f>S35/60</f>
        <v>103.16666666666667</v>
      </c>
      <c r="T36" s="34">
        <f>SUM(T5:T35)</f>
        <v>11793212</v>
      </c>
      <c r="U36" s="34">
        <f>SUM(U5:U35)</f>
        <v>11793212</v>
      </c>
      <c r="V36" s="34">
        <f>SUM(V5:V35)</f>
        <v>0</v>
      </c>
      <c r="W36" s="34"/>
      <c r="X36" s="34"/>
      <c r="Y36" s="35">
        <f>Y35/60</f>
        <v>102.37163194444445</v>
      </c>
      <c r="Z36" s="35"/>
      <c r="AA36" s="35">
        <f>AA35/60</f>
        <v>102.37163194444445</v>
      </c>
      <c r="AB36" s="36">
        <f>AB35</f>
        <v>0.77345995251780586</v>
      </c>
      <c r="AC36" s="36">
        <f>AC35</f>
        <v>0.99229368605277324</v>
      </c>
      <c r="AD36" s="36">
        <f>AD35</f>
        <v>1</v>
      </c>
      <c r="AE36" s="37">
        <f>AE35</f>
        <v>0.7674994272980965</v>
      </c>
      <c r="AF36" s="38">
        <f>AF35</f>
        <v>0.44173303967397815</v>
      </c>
      <c r="AG36" s="39" t="s">
        <v>73</v>
      </c>
    </row>
  </sheetData>
  <mergeCells count="1">
    <mergeCell ref="A1:AD1"/>
  </mergeCells>
  <conditionalFormatting sqref="AE4:AE36">
    <cfRule type="expression" dxfId="7" priority="1">
      <formula>AND(ISNUMBER(AE4),AE4&lt;0.55)</formula>
    </cfRule>
  </conditionalFormatting>
  <conditionalFormatting sqref="AE4:AE36">
    <cfRule type="expression" dxfId="6" priority="2">
      <formula>AND(ISNUMBER(AE4),AE4&gt;=0.55)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3334-CD15-4FA1-BBC0-3A114FA03F1B}">
  <dimension ref="A1:AI35"/>
  <sheetViews>
    <sheetView workbookViewId="0">
      <pane xSplit="3" ySplit="3" topLeftCell="T29" activePane="bottomRight" state="frozen"/>
      <selection pane="topRight" activeCell="D1" sqref="D1"/>
      <selection pane="bottomLeft" activeCell="A4" sqref="A4"/>
      <selection pane="bottomRight" sqref="A1:AD1"/>
    </sheetView>
  </sheetViews>
  <sheetFormatPr baseColWidth="10" defaultRowHeight="14.4" x14ac:dyDescent="0.3"/>
  <cols>
    <col min="35" max="35" width="11.5546875" customWidth="1"/>
  </cols>
  <sheetData>
    <row r="1" spans="1:35" ht="16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2"/>
      <c r="AG1" s="2"/>
      <c r="AH1" s="2"/>
    </row>
    <row r="2" spans="1:35" ht="39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  <c r="I2" s="3"/>
      <c r="J2" s="3"/>
      <c r="K2" s="3"/>
      <c r="L2" s="4" t="s">
        <v>8</v>
      </c>
      <c r="M2" s="3" t="s">
        <v>9</v>
      </c>
      <c r="N2" s="3"/>
      <c r="O2" s="3"/>
      <c r="P2" s="3"/>
      <c r="Q2" s="3"/>
      <c r="R2" s="3" t="s">
        <v>10</v>
      </c>
      <c r="S2" s="3" t="s">
        <v>11</v>
      </c>
      <c r="T2" s="3" t="s">
        <v>12</v>
      </c>
      <c r="U2" s="5" t="s">
        <v>13</v>
      </c>
      <c r="V2" s="3" t="s">
        <v>14</v>
      </c>
      <c r="W2" s="3" t="s">
        <v>15</v>
      </c>
      <c r="X2" s="3" t="s">
        <v>16</v>
      </c>
      <c r="Y2" s="3" t="s">
        <v>17</v>
      </c>
      <c r="Z2" s="3" t="s">
        <v>18</v>
      </c>
      <c r="AA2" s="3" t="s">
        <v>19</v>
      </c>
      <c r="AB2" s="3" t="s">
        <v>20</v>
      </c>
      <c r="AC2" s="3" t="s">
        <v>21</v>
      </c>
      <c r="AD2" s="3" t="s">
        <v>22</v>
      </c>
      <c r="AE2" s="3" t="s">
        <v>23</v>
      </c>
      <c r="AF2" s="3" t="s">
        <v>75</v>
      </c>
      <c r="AG2" s="3"/>
      <c r="AH2" s="5" t="s">
        <v>24</v>
      </c>
      <c r="AI2" s="5" t="s">
        <v>25</v>
      </c>
    </row>
    <row r="3" spans="1:35" ht="20.399999999999999" x14ac:dyDescent="0.3">
      <c r="A3" s="6"/>
      <c r="B3" s="6"/>
      <c r="C3" s="6"/>
      <c r="D3" s="6" t="s">
        <v>26</v>
      </c>
      <c r="E3" s="6" t="s">
        <v>27</v>
      </c>
      <c r="F3" s="6" t="s">
        <v>28</v>
      </c>
      <c r="G3" s="6"/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  <c r="Q3" s="6" t="s">
        <v>38</v>
      </c>
      <c r="R3" s="6" t="s">
        <v>39</v>
      </c>
      <c r="S3" s="6" t="s">
        <v>40</v>
      </c>
      <c r="T3" s="6" t="s">
        <v>41</v>
      </c>
      <c r="U3" s="6" t="s">
        <v>42</v>
      </c>
      <c r="V3" s="6" t="s">
        <v>43</v>
      </c>
      <c r="W3" s="6" t="s">
        <v>44</v>
      </c>
      <c r="X3" s="6"/>
      <c r="Y3" s="6" t="s">
        <v>45</v>
      </c>
      <c r="Z3" s="6"/>
      <c r="AA3" s="6" t="s">
        <v>46</v>
      </c>
      <c r="AB3" s="6" t="s">
        <v>47</v>
      </c>
      <c r="AC3" s="6" t="s">
        <v>48</v>
      </c>
      <c r="AD3" s="6" t="s">
        <v>49</v>
      </c>
      <c r="AE3" s="6" t="s">
        <v>50</v>
      </c>
      <c r="AF3" s="6"/>
      <c r="AG3" s="6"/>
      <c r="AH3" s="2"/>
      <c r="AI3" s="2" t="s">
        <v>51</v>
      </c>
    </row>
    <row r="4" spans="1:35" x14ac:dyDescent="0.3">
      <c r="A4" s="7">
        <v>45017</v>
      </c>
      <c r="B4" s="8"/>
      <c r="C4" s="8"/>
      <c r="D4" s="9">
        <v>1440</v>
      </c>
      <c r="E4" s="9">
        <v>540</v>
      </c>
      <c r="F4" s="9">
        <f>D4-E4</f>
        <v>900</v>
      </c>
      <c r="G4" s="9">
        <v>960</v>
      </c>
      <c r="H4" s="9">
        <v>60</v>
      </c>
      <c r="I4" s="9">
        <v>0</v>
      </c>
      <c r="J4" s="9">
        <v>0</v>
      </c>
      <c r="K4" s="9">
        <v>480</v>
      </c>
      <c r="L4" s="9">
        <f>SUM(H4:K4)</f>
        <v>540</v>
      </c>
      <c r="M4" s="9">
        <f>E4-L4</f>
        <v>0</v>
      </c>
      <c r="N4" s="9">
        <v>0</v>
      </c>
      <c r="O4" s="9">
        <v>0</v>
      </c>
      <c r="P4" s="9">
        <v>0</v>
      </c>
      <c r="Q4" s="9">
        <v>0</v>
      </c>
      <c r="R4" s="9">
        <f>SUM(N4:Q4)</f>
        <v>0</v>
      </c>
      <c r="S4" s="9">
        <f>M4-R4</f>
        <v>0</v>
      </c>
      <c r="T4" s="10">
        <v>0</v>
      </c>
      <c r="U4" s="10">
        <v>0</v>
      </c>
      <c r="V4" s="10">
        <v>0</v>
      </c>
      <c r="W4" s="10">
        <f>(T4/G4)</f>
        <v>0</v>
      </c>
      <c r="X4" s="10">
        <f>S4-W4</f>
        <v>0</v>
      </c>
      <c r="Y4" s="11">
        <f>S4-X4</f>
        <v>0</v>
      </c>
      <c r="Z4" s="11">
        <f>V4/G4</f>
        <v>0</v>
      </c>
      <c r="AA4" s="11">
        <f>Y4-Z4</f>
        <v>0</v>
      </c>
      <c r="AB4" s="12" t="str">
        <f>IF(OR(S4="",M4="",M4=0),"",S4/M4)</f>
        <v/>
      </c>
      <c r="AC4" s="12" t="str">
        <f>IF(OR(Y4="",S4="",S4=0),"",Y4/S4)</f>
        <v/>
      </c>
      <c r="AD4" s="12" t="str">
        <f>IF(OR(AA4="",Y4="",Y4=0),"",AA4/Y4)</f>
        <v/>
      </c>
      <c r="AE4" s="13">
        <f>IF(M4&gt;0,AA4/M4,0)</f>
        <v>0</v>
      </c>
      <c r="AF4" s="42">
        <f>480/(E4-60)</f>
        <v>1</v>
      </c>
      <c r="AG4" s="40"/>
      <c r="AH4" s="14">
        <f>IF(E4&gt;0,AA4/E4,0)</f>
        <v>0</v>
      </c>
      <c r="AI4" s="15" t="s">
        <v>52</v>
      </c>
    </row>
    <row r="5" spans="1:35" x14ac:dyDescent="0.3">
      <c r="A5" s="16">
        <v>45018</v>
      </c>
      <c r="B5" s="17" t="s">
        <v>64</v>
      </c>
      <c r="C5" s="17">
        <v>25015</v>
      </c>
      <c r="D5" s="18">
        <v>1440</v>
      </c>
      <c r="E5" s="18">
        <v>600</v>
      </c>
      <c r="F5" s="19">
        <f>D5-E5</f>
        <v>840</v>
      </c>
      <c r="G5" s="9">
        <v>960</v>
      </c>
      <c r="H5" s="19">
        <v>0</v>
      </c>
      <c r="I5" s="19">
        <v>0</v>
      </c>
      <c r="J5" s="19">
        <v>230</v>
      </c>
      <c r="K5" s="19">
        <v>0</v>
      </c>
      <c r="L5" s="18">
        <f t="shared" ref="L5:L33" si="0">SUM(H5:K5)</f>
        <v>230</v>
      </c>
      <c r="M5" s="18">
        <f>E5-L5</f>
        <v>370</v>
      </c>
      <c r="N5" s="18">
        <v>0</v>
      </c>
      <c r="O5" s="18">
        <v>0</v>
      </c>
      <c r="P5" s="18">
        <v>0</v>
      </c>
      <c r="Q5" s="18">
        <v>0</v>
      </c>
      <c r="R5" s="18">
        <f t="shared" ref="R5:R33" si="1">SUM(N5:Q5)</f>
        <v>0</v>
      </c>
      <c r="S5" s="18">
        <f>M5-R5</f>
        <v>370</v>
      </c>
      <c r="T5" s="20">
        <v>353402</v>
      </c>
      <c r="U5" s="20">
        <v>353402</v>
      </c>
      <c r="V5" s="10">
        <v>0</v>
      </c>
      <c r="W5" s="10">
        <f t="shared" ref="W5:W33" si="2">(T5/G5)</f>
        <v>368.12708333333336</v>
      </c>
      <c r="X5" s="10">
        <f t="shared" ref="X5:X33" si="3">S5-W5</f>
        <v>1.8729166666666401</v>
      </c>
      <c r="Y5" s="11">
        <f t="shared" ref="Y5:Y33" si="4">S5-X5</f>
        <v>368.12708333333336</v>
      </c>
      <c r="Z5" s="11">
        <f t="shared" ref="Z5:Z33" si="5">V5/G5</f>
        <v>0</v>
      </c>
      <c r="AA5" s="11">
        <f t="shared" ref="AA5:AA33" si="6">Y5-Z5</f>
        <v>368.12708333333336</v>
      </c>
      <c r="AB5" s="21">
        <f>IF(OR(S5="",M5="",M5=0),"",S5/M5)</f>
        <v>1</v>
      </c>
      <c r="AC5" s="21">
        <f>IF(OR(Y5="",S5="",S5=0),"",Y5/S5)</f>
        <v>0.99493806306306309</v>
      </c>
      <c r="AD5" s="21">
        <f>IF(OR(AA5="",Y5="",Y5=0),"",AA5/Y5)</f>
        <v>1</v>
      </c>
      <c r="AE5" s="13">
        <f t="shared" ref="AE5:AE34" si="7">IF(M5&gt;0,AA5/M5,0)</f>
        <v>0.99493806306306309</v>
      </c>
      <c r="AF5" s="42">
        <f t="shared" ref="AF5:AF33" si="8">480/(E5-60)</f>
        <v>0.88888888888888884</v>
      </c>
      <c r="AG5" s="40"/>
      <c r="AH5" s="22">
        <f t="shared" ref="AH5:AH34" si="9">IF(E5&gt;0,AA5/E5,0)</f>
        <v>0.61354513888888895</v>
      </c>
      <c r="AI5" s="23"/>
    </row>
    <row r="6" spans="1:35" x14ac:dyDescent="0.3">
      <c r="A6" s="7">
        <v>45019</v>
      </c>
      <c r="B6" s="8"/>
      <c r="C6" s="8"/>
      <c r="D6" s="9">
        <v>1440</v>
      </c>
      <c r="E6" s="9">
        <v>540</v>
      </c>
      <c r="F6" s="9">
        <f>D6-E6</f>
        <v>900</v>
      </c>
      <c r="G6" s="9">
        <v>960</v>
      </c>
      <c r="H6" s="9">
        <v>60</v>
      </c>
      <c r="I6" s="9">
        <v>0</v>
      </c>
      <c r="J6" s="9">
        <v>0</v>
      </c>
      <c r="K6" s="9">
        <v>480</v>
      </c>
      <c r="L6" s="9">
        <f t="shared" si="0"/>
        <v>540</v>
      </c>
      <c r="M6" s="9">
        <f>E6-L6</f>
        <v>0</v>
      </c>
      <c r="N6" s="9">
        <v>0</v>
      </c>
      <c r="O6" s="9">
        <v>0</v>
      </c>
      <c r="P6" s="9">
        <v>0</v>
      </c>
      <c r="Q6" s="9">
        <v>0</v>
      </c>
      <c r="R6" s="9">
        <f t="shared" si="1"/>
        <v>0</v>
      </c>
      <c r="S6" s="9">
        <f>M6-R6</f>
        <v>0</v>
      </c>
      <c r="T6" s="10">
        <v>0</v>
      </c>
      <c r="U6" s="10">
        <v>0</v>
      </c>
      <c r="V6" s="10">
        <v>0</v>
      </c>
      <c r="W6" s="10">
        <f t="shared" si="2"/>
        <v>0</v>
      </c>
      <c r="X6" s="10">
        <f t="shared" si="3"/>
        <v>0</v>
      </c>
      <c r="Y6" s="11">
        <f t="shared" si="4"/>
        <v>0</v>
      </c>
      <c r="Z6" s="11">
        <f t="shared" si="5"/>
        <v>0</v>
      </c>
      <c r="AA6" s="11">
        <f t="shared" si="6"/>
        <v>0</v>
      </c>
      <c r="AB6" s="12" t="str">
        <f>IF(OR(S6="",M6="",M6=0),"",S6/M6)</f>
        <v/>
      </c>
      <c r="AC6" s="12" t="str">
        <f>IF(OR(Y6="",S6="",S6=0),"",Y6/S6)</f>
        <v/>
      </c>
      <c r="AD6" s="12" t="str">
        <f>IF(OR(AA6="",Y6="",Y6=0),"",AA6/Y6)</f>
        <v/>
      </c>
      <c r="AE6" s="13">
        <f t="shared" si="7"/>
        <v>0</v>
      </c>
      <c r="AF6" s="42">
        <f t="shared" si="8"/>
        <v>1</v>
      </c>
      <c r="AG6" s="40"/>
      <c r="AH6" s="14">
        <f t="shared" si="9"/>
        <v>0</v>
      </c>
      <c r="AI6" s="15" t="s">
        <v>53</v>
      </c>
    </row>
    <row r="7" spans="1:35" x14ac:dyDescent="0.3">
      <c r="A7" s="7">
        <v>45020</v>
      </c>
      <c r="B7" s="8"/>
      <c r="C7" s="8"/>
      <c r="D7" s="9">
        <v>1440</v>
      </c>
      <c r="E7" s="9">
        <v>540</v>
      </c>
      <c r="F7" s="9">
        <f>D7-E7</f>
        <v>900</v>
      </c>
      <c r="G7" s="9">
        <v>960</v>
      </c>
      <c r="H7" s="9">
        <v>60</v>
      </c>
      <c r="I7" s="9">
        <v>0</v>
      </c>
      <c r="J7" s="9">
        <v>0</v>
      </c>
      <c r="K7" s="9">
        <v>480</v>
      </c>
      <c r="L7" s="9">
        <f t="shared" si="0"/>
        <v>540</v>
      </c>
      <c r="M7" s="9">
        <f>E7-L7</f>
        <v>0</v>
      </c>
      <c r="N7" s="9">
        <v>0</v>
      </c>
      <c r="O7" s="9">
        <v>0</v>
      </c>
      <c r="P7" s="9">
        <v>0</v>
      </c>
      <c r="Q7" s="9">
        <v>0</v>
      </c>
      <c r="R7" s="9">
        <f t="shared" si="1"/>
        <v>0</v>
      </c>
      <c r="S7" s="9">
        <f>M7-R7</f>
        <v>0</v>
      </c>
      <c r="T7" s="10">
        <v>0</v>
      </c>
      <c r="U7" s="10">
        <v>0</v>
      </c>
      <c r="V7" s="10">
        <v>0</v>
      </c>
      <c r="W7" s="10">
        <f t="shared" si="2"/>
        <v>0</v>
      </c>
      <c r="X7" s="10">
        <f t="shared" si="3"/>
        <v>0</v>
      </c>
      <c r="Y7" s="11">
        <f t="shared" si="4"/>
        <v>0</v>
      </c>
      <c r="Z7" s="11">
        <f t="shared" si="5"/>
        <v>0</v>
      </c>
      <c r="AA7" s="11">
        <f t="shared" si="6"/>
        <v>0</v>
      </c>
      <c r="AB7" s="12" t="str">
        <f>IF(OR(S7="",M7="",M7=0),"",S7/M7)</f>
        <v/>
      </c>
      <c r="AC7" s="12" t="str">
        <f>IF(OR(Y7="",S7="",S7=0),"",Y7/S7)</f>
        <v/>
      </c>
      <c r="AD7" s="12" t="str">
        <f>IF(OR(AA7="",Y7="",Y7=0),"",AA7/Y7)</f>
        <v/>
      </c>
      <c r="AE7" s="13">
        <f t="shared" si="7"/>
        <v>0</v>
      </c>
      <c r="AF7" s="42">
        <f t="shared" si="8"/>
        <v>1</v>
      </c>
      <c r="AG7" s="40"/>
      <c r="AH7" s="14">
        <f t="shared" si="9"/>
        <v>0</v>
      </c>
      <c r="AI7" s="15"/>
    </row>
    <row r="8" spans="1:35" ht="28.8" x14ac:dyDescent="0.3">
      <c r="A8" s="16">
        <v>45021</v>
      </c>
      <c r="B8" s="17" t="s">
        <v>74</v>
      </c>
      <c r="C8" s="17">
        <v>25013</v>
      </c>
      <c r="D8" s="18">
        <v>1440</v>
      </c>
      <c r="E8" s="18">
        <v>660</v>
      </c>
      <c r="F8" s="19">
        <f>D8-E8</f>
        <v>780</v>
      </c>
      <c r="G8" s="9">
        <v>960</v>
      </c>
      <c r="H8" s="19">
        <v>0</v>
      </c>
      <c r="I8" s="19">
        <v>0</v>
      </c>
      <c r="J8" s="19">
        <v>170</v>
      </c>
      <c r="K8" s="19">
        <v>0</v>
      </c>
      <c r="L8" s="18">
        <f t="shared" si="0"/>
        <v>170</v>
      </c>
      <c r="M8" s="18">
        <f>E8-L8</f>
        <v>490</v>
      </c>
      <c r="N8" s="18">
        <v>124</v>
      </c>
      <c r="O8" s="18">
        <v>0</v>
      </c>
      <c r="P8" s="18">
        <v>0</v>
      </c>
      <c r="Q8" s="18">
        <v>0</v>
      </c>
      <c r="R8" s="18">
        <f t="shared" si="1"/>
        <v>124</v>
      </c>
      <c r="S8" s="18">
        <f>M8-R8</f>
        <v>366</v>
      </c>
      <c r="T8" s="20">
        <v>348888</v>
      </c>
      <c r="U8" s="20">
        <v>348888</v>
      </c>
      <c r="V8" s="10">
        <v>0</v>
      </c>
      <c r="W8" s="10">
        <f t="shared" si="2"/>
        <v>363.42500000000001</v>
      </c>
      <c r="X8" s="10">
        <f t="shared" si="3"/>
        <v>2.5749999999999886</v>
      </c>
      <c r="Y8" s="11">
        <f t="shared" si="4"/>
        <v>363.42500000000001</v>
      </c>
      <c r="Z8" s="11">
        <f t="shared" si="5"/>
        <v>0</v>
      </c>
      <c r="AA8" s="11">
        <f t="shared" si="6"/>
        <v>363.42500000000001</v>
      </c>
      <c r="AB8" s="21">
        <f>IF(OR(S8="",M8="",M8=0),"",S8/M8)</f>
        <v>0.74693877551020404</v>
      </c>
      <c r="AC8" s="21">
        <f>IF(OR(Y8="",S8="",S8=0),"",Y8/S8)</f>
        <v>0.99296448087431699</v>
      </c>
      <c r="AD8" s="21">
        <f>IF(OR(AA8="",Y8="",Y8=0),"",AA8/Y8)</f>
        <v>1</v>
      </c>
      <c r="AE8" s="13">
        <f t="shared" si="7"/>
        <v>0.74168367346938779</v>
      </c>
      <c r="AF8" s="42">
        <f t="shared" si="8"/>
        <v>0.8</v>
      </c>
      <c r="AG8" s="40"/>
      <c r="AH8" s="22">
        <f t="shared" si="9"/>
        <v>0.55064393939393941</v>
      </c>
      <c r="AI8" s="23" t="s">
        <v>54</v>
      </c>
    </row>
    <row r="9" spans="1:35" x14ac:dyDescent="0.3">
      <c r="A9" s="16">
        <v>45022</v>
      </c>
      <c r="B9" s="17" t="s">
        <v>74</v>
      </c>
      <c r="C9" s="17">
        <v>25014</v>
      </c>
      <c r="D9" s="18">
        <v>1440</v>
      </c>
      <c r="E9" s="18">
        <v>660</v>
      </c>
      <c r="F9" s="19">
        <f>D9-E9</f>
        <v>780</v>
      </c>
      <c r="G9" s="9">
        <v>960</v>
      </c>
      <c r="H9" s="19">
        <v>0</v>
      </c>
      <c r="I9" s="19">
        <v>0</v>
      </c>
      <c r="J9" s="19">
        <v>200</v>
      </c>
      <c r="K9" s="19">
        <v>0</v>
      </c>
      <c r="L9" s="19">
        <f t="shared" si="0"/>
        <v>200</v>
      </c>
      <c r="M9" s="18">
        <f>E9-L9</f>
        <v>460</v>
      </c>
      <c r="N9" s="18">
        <v>0</v>
      </c>
      <c r="O9" s="18">
        <v>95</v>
      </c>
      <c r="P9" s="18">
        <v>0</v>
      </c>
      <c r="Q9" s="18">
        <v>0</v>
      </c>
      <c r="R9" s="18">
        <f t="shared" si="1"/>
        <v>95</v>
      </c>
      <c r="S9" s="18">
        <f>M9-R9</f>
        <v>365</v>
      </c>
      <c r="T9" s="20">
        <v>347571</v>
      </c>
      <c r="U9" s="20">
        <v>347571</v>
      </c>
      <c r="V9" s="10">
        <v>0</v>
      </c>
      <c r="W9" s="10">
        <f t="shared" si="2"/>
        <v>362.05312500000002</v>
      </c>
      <c r="X9" s="10">
        <f t="shared" si="3"/>
        <v>2.9468749999999773</v>
      </c>
      <c r="Y9" s="11">
        <f t="shared" si="4"/>
        <v>362.05312500000002</v>
      </c>
      <c r="Z9" s="11">
        <f t="shared" si="5"/>
        <v>0</v>
      </c>
      <c r="AA9" s="11">
        <f t="shared" si="6"/>
        <v>362.05312500000002</v>
      </c>
      <c r="AB9" s="21">
        <f>IF(OR(S9="",M9="",M9=0),"",S9/M9)</f>
        <v>0.79347826086956519</v>
      </c>
      <c r="AC9" s="21">
        <f>IF(OR(Y9="",S9="",S9=0),"",Y9/S9)</f>
        <v>0.99192636986301375</v>
      </c>
      <c r="AD9" s="21">
        <f>IF(OR(AA9="",Y9="",Y9=0),"",AA9/Y9)</f>
        <v>1</v>
      </c>
      <c r="AE9" s="13">
        <f t="shared" si="7"/>
        <v>0.78707201086956524</v>
      </c>
      <c r="AF9" s="42">
        <f t="shared" si="8"/>
        <v>0.8</v>
      </c>
      <c r="AG9" s="40"/>
      <c r="AH9" s="22">
        <f t="shared" si="9"/>
        <v>0.54856534090909093</v>
      </c>
      <c r="AI9" s="23"/>
    </row>
    <row r="10" spans="1:35" x14ac:dyDescent="0.3">
      <c r="A10" s="16">
        <v>45023</v>
      </c>
      <c r="B10" s="17" t="s">
        <v>74</v>
      </c>
      <c r="C10" s="17">
        <v>25015</v>
      </c>
      <c r="D10" s="18">
        <v>1440</v>
      </c>
      <c r="E10" s="18">
        <v>630</v>
      </c>
      <c r="F10" s="19">
        <f>D10-E10</f>
        <v>810</v>
      </c>
      <c r="G10" s="9">
        <v>960</v>
      </c>
      <c r="H10" s="19">
        <v>0</v>
      </c>
      <c r="I10" s="19">
        <v>0</v>
      </c>
      <c r="J10" s="19">
        <v>230</v>
      </c>
      <c r="K10" s="19">
        <v>0</v>
      </c>
      <c r="L10" s="19">
        <f t="shared" si="0"/>
        <v>230</v>
      </c>
      <c r="M10" s="18">
        <f>E10-L10</f>
        <v>400</v>
      </c>
      <c r="N10" s="18">
        <v>38</v>
      </c>
      <c r="O10" s="18">
        <v>0</v>
      </c>
      <c r="P10" s="18">
        <v>0</v>
      </c>
      <c r="Q10" s="18">
        <v>0</v>
      </c>
      <c r="R10" s="18">
        <f t="shared" si="1"/>
        <v>38</v>
      </c>
      <c r="S10" s="18">
        <f>M10-R10</f>
        <v>362</v>
      </c>
      <c r="T10" s="20">
        <v>345211</v>
      </c>
      <c r="U10" s="20">
        <v>345211</v>
      </c>
      <c r="V10" s="10">
        <v>0</v>
      </c>
      <c r="W10" s="10">
        <f t="shared" si="2"/>
        <v>359.59479166666665</v>
      </c>
      <c r="X10" s="10">
        <f t="shared" si="3"/>
        <v>2.4052083333333485</v>
      </c>
      <c r="Y10" s="11">
        <f t="shared" si="4"/>
        <v>359.59479166666665</v>
      </c>
      <c r="Z10" s="11">
        <f t="shared" si="5"/>
        <v>0</v>
      </c>
      <c r="AA10" s="11">
        <f t="shared" si="6"/>
        <v>359.59479166666665</v>
      </c>
      <c r="AB10" s="21">
        <f>IF(OR(S10="",M10="",M10=0),"",S10/M10)</f>
        <v>0.90500000000000003</v>
      </c>
      <c r="AC10" s="21">
        <f>IF(OR(Y10="",S10="",S10=0),"",Y10/S10)</f>
        <v>0.99335577808471454</v>
      </c>
      <c r="AD10" s="21">
        <f>IF(OR(AA10="",Y10="",Y10=0),"",AA10/Y10)</f>
        <v>1</v>
      </c>
      <c r="AE10" s="13">
        <f t="shared" si="7"/>
        <v>0.89898697916666659</v>
      </c>
      <c r="AF10" s="42">
        <f t="shared" si="8"/>
        <v>0.84210526315789469</v>
      </c>
      <c r="AG10" s="40"/>
      <c r="AH10" s="22">
        <f t="shared" si="9"/>
        <v>0.57078538359788356</v>
      </c>
      <c r="AI10" s="23"/>
    </row>
    <row r="11" spans="1:35" ht="43.2" x14ac:dyDescent="0.3">
      <c r="A11" s="16">
        <v>45024</v>
      </c>
      <c r="B11" s="17"/>
      <c r="C11" s="17"/>
      <c r="D11" s="18">
        <v>1440</v>
      </c>
      <c r="E11" s="18">
        <v>540</v>
      </c>
      <c r="F11" s="19">
        <f>D11-E11</f>
        <v>900</v>
      </c>
      <c r="G11" s="9">
        <v>960</v>
      </c>
      <c r="H11" s="19">
        <v>60</v>
      </c>
      <c r="I11" s="19">
        <v>0</v>
      </c>
      <c r="J11" s="19">
        <v>0</v>
      </c>
      <c r="K11" s="19">
        <v>480</v>
      </c>
      <c r="L11" s="19">
        <f t="shared" si="0"/>
        <v>540</v>
      </c>
      <c r="M11" s="18">
        <f>E11-L11</f>
        <v>0</v>
      </c>
      <c r="N11" s="18">
        <v>0</v>
      </c>
      <c r="O11" s="18">
        <v>0</v>
      </c>
      <c r="P11" s="18">
        <v>0</v>
      </c>
      <c r="Q11" s="18">
        <v>0</v>
      </c>
      <c r="R11" s="18">
        <f t="shared" si="1"/>
        <v>0</v>
      </c>
      <c r="S11" s="18">
        <f>M11-R11</f>
        <v>0</v>
      </c>
      <c r="T11" s="20">
        <v>0</v>
      </c>
      <c r="U11" s="20">
        <v>0</v>
      </c>
      <c r="V11" s="10">
        <v>0</v>
      </c>
      <c r="W11" s="10">
        <f t="shared" si="2"/>
        <v>0</v>
      </c>
      <c r="X11" s="10">
        <f t="shared" si="3"/>
        <v>0</v>
      </c>
      <c r="Y11" s="11">
        <f t="shared" si="4"/>
        <v>0</v>
      </c>
      <c r="Z11" s="11">
        <f t="shared" si="5"/>
        <v>0</v>
      </c>
      <c r="AA11" s="11">
        <f t="shared" si="6"/>
        <v>0</v>
      </c>
      <c r="AB11" s="21" t="str">
        <f>IF(OR(S11="",M11="",M11=0),"",S11/M11)</f>
        <v/>
      </c>
      <c r="AC11" s="21" t="str">
        <f>IF(OR(Y11="",S11="",S11=0),"",Y11/S11)</f>
        <v/>
      </c>
      <c r="AD11" s="21" t="str">
        <f>IF(OR(AA11="",Y11="",Y11=0),"",AA11/Y11)</f>
        <v/>
      </c>
      <c r="AE11" s="13">
        <f t="shared" si="7"/>
        <v>0</v>
      </c>
      <c r="AF11" s="42">
        <f t="shared" si="8"/>
        <v>1</v>
      </c>
      <c r="AG11" s="40"/>
      <c r="AH11" s="22">
        <f t="shared" si="9"/>
        <v>0</v>
      </c>
      <c r="AI11" s="23" t="s">
        <v>56</v>
      </c>
    </row>
    <row r="12" spans="1:35" x14ac:dyDescent="0.3">
      <c r="A12" s="16">
        <v>45025</v>
      </c>
      <c r="B12" s="17"/>
      <c r="C12" s="17"/>
      <c r="D12" s="18">
        <v>1440</v>
      </c>
      <c r="E12" s="18">
        <v>540</v>
      </c>
      <c r="F12" s="19">
        <f>D12-E12</f>
        <v>900</v>
      </c>
      <c r="G12" s="9">
        <v>960</v>
      </c>
      <c r="H12" s="19">
        <v>60</v>
      </c>
      <c r="I12" s="19">
        <v>0</v>
      </c>
      <c r="J12" s="19">
        <v>0</v>
      </c>
      <c r="K12" s="19">
        <v>480</v>
      </c>
      <c r="L12" s="19">
        <f t="shared" si="0"/>
        <v>540</v>
      </c>
      <c r="M12" s="18">
        <f>E12-L12</f>
        <v>0</v>
      </c>
      <c r="N12" s="18">
        <v>0</v>
      </c>
      <c r="O12" s="18">
        <v>0</v>
      </c>
      <c r="P12" s="18">
        <v>0</v>
      </c>
      <c r="Q12" s="18">
        <v>0</v>
      </c>
      <c r="R12" s="18">
        <f t="shared" si="1"/>
        <v>0</v>
      </c>
      <c r="S12" s="18">
        <f>M12-R12</f>
        <v>0</v>
      </c>
      <c r="T12" s="20">
        <v>0</v>
      </c>
      <c r="U12" s="20">
        <v>0</v>
      </c>
      <c r="V12" s="10">
        <v>0</v>
      </c>
      <c r="W12" s="10">
        <f t="shared" si="2"/>
        <v>0</v>
      </c>
      <c r="X12" s="10">
        <f t="shared" si="3"/>
        <v>0</v>
      </c>
      <c r="Y12" s="11">
        <f t="shared" si="4"/>
        <v>0</v>
      </c>
      <c r="Z12" s="11">
        <f t="shared" si="5"/>
        <v>0</v>
      </c>
      <c r="AA12" s="11">
        <f t="shared" si="6"/>
        <v>0</v>
      </c>
      <c r="AB12" s="21" t="str">
        <f>IF(OR(S12="",M12="",M12=0),"",S12/M12)</f>
        <v/>
      </c>
      <c r="AC12" s="21" t="str">
        <f>IF(OR(Y12="",S12="",S12=0),"",Y12/S12)</f>
        <v/>
      </c>
      <c r="AD12" s="21" t="str">
        <f>IF(OR(AA12="",Y12="",Y12=0),"",AA12/Y12)</f>
        <v/>
      </c>
      <c r="AE12" s="13">
        <f t="shared" si="7"/>
        <v>0</v>
      </c>
      <c r="AF12" s="42">
        <f t="shared" si="8"/>
        <v>1</v>
      </c>
      <c r="AG12" s="40"/>
      <c r="AH12" s="22">
        <f t="shared" si="9"/>
        <v>0</v>
      </c>
      <c r="AI12" s="23" t="s">
        <v>57</v>
      </c>
    </row>
    <row r="13" spans="1:35" x14ac:dyDescent="0.3">
      <c r="A13" s="7">
        <v>45026</v>
      </c>
      <c r="B13" s="8" t="s">
        <v>74</v>
      </c>
      <c r="C13" s="8">
        <v>25016</v>
      </c>
      <c r="D13" s="9">
        <v>1440</v>
      </c>
      <c r="E13" s="9">
        <v>600</v>
      </c>
      <c r="F13" s="9">
        <f>D13-E13</f>
        <v>840</v>
      </c>
      <c r="G13" s="9">
        <v>960</v>
      </c>
      <c r="H13" s="9">
        <v>0</v>
      </c>
      <c r="I13" s="9">
        <v>0</v>
      </c>
      <c r="J13" s="9">
        <v>170</v>
      </c>
      <c r="K13" s="9">
        <v>0</v>
      </c>
      <c r="L13" s="9">
        <f t="shared" si="0"/>
        <v>170</v>
      </c>
      <c r="M13" s="9">
        <f>E13-L13</f>
        <v>430</v>
      </c>
      <c r="N13" s="9">
        <v>65</v>
      </c>
      <c r="O13" s="9">
        <v>0</v>
      </c>
      <c r="P13" s="9">
        <v>0</v>
      </c>
      <c r="Q13" s="9">
        <v>0</v>
      </c>
      <c r="R13" s="9">
        <f t="shared" si="1"/>
        <v>65</v>
      </c>
      <c r="S13" s="9">
        <f>M13-R13</f>
        <v>365</v>
      </c>
      <c r="T13" s="10">
        <v>347751</v>
      </c>
      <c r="U13" s="10">
        <v>347751</v>
      </c>
      <c r="V13" s="10">
        <v>0</v>
      </c>
      <c r="W13" s="10">
        <f t="shared" si="2"/>
        <v>362.24062500000002</v>
      </c>
      <c r="X13" s="10">
        <f t="shared" si="3"/>
        <v>2.7593749999999773</v>
      </c>
      <c r="Y13" s="11">
        <f t="shared" si="4"/>
        <v>362.24062500000002</v>
      </c>
      <c r="Z13" s="11">
        <f t="shared" si="5"/>
        <v>0</v>
      </c>
      <c r="AA13" s="11">
        <f t="shared" si="6"/>
        <v>362.24062500000002</v>
      </c>
      <c r="AB13" s="12">
        <f>IF(OR(S13="",M13="",M13=0),"",S13/M13)</f>
        <v>0.84883720930232553</v>
      </c>
      <c r="AC13" s="12">
        <f>IF(OR(Y13="",S13="",S13=0),"",Y13/S13)</f>
        <v>0.9924400684931507</v>
      </c>
      <c r="AD13" s="12">
        <f>IF(OR(AA13="",Y13="",Y13=0),"",AA13/Y13)</f>
        <v>1</v>
      </c>
      <c r="AE13" s="13">
        <f t="shared" si="7"/>
        <v>0.84242005813953491</v>
      </c>
      <c r="AF13" s="42">
        <f t="shared" si="8"/>
        <v>0.88888888888888884</v>
      </c>
      <c r="AG13" s="40"/>
      <c r="AH13" s="14">
        <f t="shared" si="9"/>
        <v>0.60373437500000005</v>
      </c>
      <c r="AI13" s="15" t="s">
        <v>53</v>
      </c>
    </row>
    <row r="14" spans="1:35" x14ac:dyDescent="0.3">
      <c r="A14" s="7">
        <v>45027</v>
      </c>
      <c r="B14" s="8" t="s">
        <v>74</v>
      </c>
      <c r="C14" s="8">
        <v>25017</v>
      </c>
      <c r="D14" s="9">
        <v>1440</v>
      </c>
      <c r="E14" s="9">
        <v>630</v>
      </c>
      <c r="F14" s="9">
        <f>D14-E14</f>
        <v>810</v>
      </c>
      <c r="G14" s="9">
        <v>960</v>
      </c>
      <c r="H14" s="9">
        <v>0</v>
      </c>
      <c r="I14" s="9">
        <v>0</v>
      </c>
      <c r="J14" s="9">
        <v>170</v>
      </c>
      <c r="K14" s="9">
        <v>0</v>
      </c>
      <c r="L14" s="9">
        <f t="shared" si="0"/>
        <v>170</v>
      </c>
      <c r="M14" s="9">
        <f>E14-L14</f>
        <v>460</v>
      </c>
      <c r="N14" s="9">
        <v>57</v>
      </c>
      <c r="O14" s="9">
        <v>40</v>
      </c>
      <c r="P14" s="9">
        <v>0</v>
      </c>
      <c r="Q14" s="9">
        <v>0</v>
      </c>
      <c r="R14" s="9">
        <f t="shared" si="1"/>
        <v>97</v>
      </c>
      <c r="S14" s="9">
        <f>M14-R14</f>
        <v>363</v>
      </c>
      <c r="T14" s="10">
        <v>346353</v>
      </c>
      <c r="U14" s="10">
        <v>346353</v>
      </c>
      <c r="V14" s="10">
        <v>0</v>
      </c>
      <c r="W14" s="10">
        <f t="shared" si="2"/>
        <v>360.78437500000001</v>
      </c>
      <c r="X14" s="10">
        <f t="shared" si="3"/>
        <v>2.2156249999999886</v>
      </c>
      <c r="Y14" s="11">
        <f t="shared" si="4"/>
        <v>360.78437500000001</v>
      </c>
      <c r="Z14" s="11">
        <f t="shared" si="5"/>
        <v>0</v>
      </c>
      <c r="AA14" s="11">
        <f t="shared" si="6"/>
        <v>360.78437500000001</v>
      </c>
      <c r="AB14" s="12">
        <f>IF(OR(S14="",M14="",M14=0),"",S14/M14)</f>
        <v>0.78913043478260869</v>
      </c>
      <c r="AC14" s="12">
        <f>IF(OR(Y14="",S14="",S14=0),"",Y14/S14)</f>
        <v>0.99389634986225894</v>
      </c>
      <c r="AD14" s="12">
        <f>IF(OR(AA14="",Y14="",Y14=0),"",AA14/Y14)</f>
        <v>1</v>
      </c>
      <c r="AE14" s="13">
        <f t="shared" si="7"/>
        <v>0.78431385869565218</v>
      </c>
      <c r="AF14" s="42">
        <f t="shared" si="8"/>
        <v>0.84210526315789469</v>
      </c>
      <c r="AG14" s="40"/>
      <c r="AH14" s="14">
        <f t="shared" si="9"/>
        <v>0.57267361111111115</v>
      </c>
      <c r="AI14" s="15"/>
    </row>
    <row r="15" spans="1:35" ht="28.8" x14ac:dyDescent="0.3">
      <c r="A15" s="16">
        <v>45028</v>
      </c>
      <c r="B15" s="17" t="s">
        <v>74</v>
      </c>
      <c r="C15" s="17">
        <v>25018</v>
      </c>
      <c r="D15" s="18">
        <v>1440</v>
      </c>
      <c r="E15" s="18">
        <v>600</v>
      </c>
      <c r="F15" s="19">
        <f>D15-E15</f>
        <v>840</v>
      </c>
      <c r="G15" s="9">
        <v>960</v>
      </c>
      <c r="H15" s="19">
        <v>0</v>
      </c>
      <c r="I15" s="19">
        <v>0</v>
      </c>
      <c r="J15" s="19">
        <v>170</v>
      </c>
      <c r="K15" s="19">
        <v>0</v>
      </c>
      <c r="L15" s="19">
        <f t="shared" si="0"/>
        <v>170</v>
      </c>
      <c r="M15" s="18">
        <f>E15-L15</f>
        <v>430</v>
      </c>
      <c r="N15" s="18">
        <v>67</v>
      </c>
      <c r="O15" s="18">
        <v>0</v>
      </c>
      <c r="P15" s="18">
        <v>0</v>
      </c>
      <c r="Q15" s="18">
        <v>0</v>
      </c>
      <c r="R15" s="18">
        <f t="shared" si="1"/>
        <v>67</v>
      </c>
      <c r="S15" s="18">
        <f>M15-R15</f>
        <v>363</v>
      </c>
      <c r="T15" s="20">
        <v>346389</v>
      </c>
      <c r="U15" s="20">
        <v>346389</v>
      </c>
      <c r="V15" s="10">
        <v>0</v>
      </c>
      <c r="W15" s="10">
        <f t="shared" si="2"/>
        <v>360.82187499999998</v>
      </c>
      <c r="X15" s="10">
        <f t="shared" si="3"/>
        <v>2.1781250000000227</v>
      </c>
      <c r="Y15" s="11">
        <f t="shared" si="4"/>
        <v>360.82187499999998</v>
      </c>
      <c r="Z15" s="11">
        <f t="shared" si="5"/>
        <v>0</v>
      </c>
      <c r="AA15" s="11">
        <f t="shared" si="6"/>
        <v>360.82187499999998</v>
      </c>
      <c r="AB15" s="21">
        <f>IF(OR(S15="",M15="",M15=0),"",S15/M15)</f>
        <v>0.84418604651162787</v>
      </c>
      <c r="AC15" s="21">
        <f>IF(OR(Y15="",S15="",S15=0),"",Y15/S15)</f>
        <v>0.99399965564738291</v>
      </c>
      <c r="AD15" s="21">
        <f>IF(OR(AA15="",Y15="",Y15=0),"",AA15/Y15)</f>
        <v>1</v>
      </c>
      <c r="AE15" s="13">
        <f t="shared" si="7"/>
        <v>0.83912063953488369</v>
      </c>
      <c r="AF15" s="42">
        <f t="shared" si="8"/>
        <v>0.88888888888888884</v>
      </c>
      <c r="AG15" s="40"/>
      <c r="AH15" s="22">
        <f t="shared" si="9"/>
        <v>0.6013697916666666</v>
      </c>
      <c r="AI15" s="23" t="s">
        <v>58</v>
      </c>
    </row>
    <row r="16" spans="1:35" ht="43.2" x14ac:dyDescent="0.3">
      <c r="A16" s="16">
        <v>45029</v>
      </c>
      <c r="B16" s="17"/>
      <c r="C16" s="17"/>
      <c r="D16" s="18">
        <v>1440</v>
      </c>
      <c r="E16" s="18">
        <v>540</v>
      </c>
      <c r="F16" s="19">
        <f>D16-E16</f>
        <v>900</v>
      </c>
      <c r="G16" s="9">
        <v>960</v>
      </c>
      <c r="H16" s="19">
        <v>60</v>
      </c>
      <c r="I16" s="19">
        <v>120</v>
      </c>
      <c r="J16" s="19">
        <v>360</v>
      </c>
      <c r="K16" s="19">
        <v>0</v>
      </c>
      <c r="L16" s="19">
        <f t="shared" si="0"/>
        <v>540</v>
      </c>
      <c r="M16" s="18">
        <f>E16-L16</f>
        <v>0</v>
      </c>
      <c r="N16" s="18">
        <v>0</v>
      </c>
      <c r="O16" s="18">
        <v>0</v>
      </c>
      <c r="P16" s="18">
        <v>0</v>
      </c>
      <c r="Q16" s="18">
        <v>0</v>
      </c>
      <c r="R16" s="18">
        <f t="shared" si="1"/>
        <v>0</v>
      </c>
      <c r="S16" s="18">
        <f>M16-R16</f>
        <v>0</v>
      </c>
      <c r="T16" s="20">
        <v>0</v>
      </c>
      <c r="U16" s="20">
        <v>0</v>
      </c>
      <c r="V16" s="10">
        <v>0</v>
      </c>
      <c r="W16" s="10">
        <f t="shared" si="2"/>
        <v>0</v>
      </c>
      <c r="X16" s="10">
        <f t="shared" si="3"/>
        <v>0</v>
      </c>
      <c r="Y16" s="11">
        <f t="shared" si="4"/>
        <v>0</v>
      </c>
      <c r="Z16" s="11">
        <f t="shared" si="5"/>
        <v>0</v>
      </c>
      <c r="AA16" s="11">
        <f t="shared" si="6"/>
        <v>0</v>
      </c>
      <c r="AB16" s="21" t="str">
        <f>IF(OR(S16="",M16="",M16=0),"",S16/M16)</f>
        <v/>
      </c>
      <c r="AC16" s="21" t="str">
        <f>IF(OR(Y16="",S16="",S16=0),"",Y16/S16)</f>
        <v/>
      </c>
      <c r="AD16" s="21" t="str">
        <f>IF(OR(AA16="",Y16="",Y16=0),"",AA16/Y16)</f>
        <v/>
      </c>
      <c r="AE16" s="13">
        <f t="shared" si="7"/>
        <v>0</v>
      </c>
      <c r="AF16" s="42">
        <f t="shared" si="8"/>
        <v>1</v>
      </c>
      <c r="AG16" s="40"/>
      <c r="AH16" s="22">
        <f t="shared" si="9"/>
        <v>0</v>
      </c>
      <c r="AI16" s="23" t="s">
        <v>59</v>
      </c>
    </row>
    <row r="17" spans="1:35" ht="43.2" x14ac:dyDescent="0.3">
      <c r="A17" s="16">
        <v>45030</v>
      </c>
      <c r="B17" s="17"/>
      <c r="C17" s="17"/>
      <c r="D17" s="18">
        <v>1440</v>
      </c>
      <c r="E17" s="18">
        <v>540</v>
      </c>
      <c r="F17" s="19">
        <f>D17-E17</f>
        <v>900</v>
      </c>
      <c r="G17" s="9">
        <v>960</v>
      </c>
      <c r="H17" s="19">
        <v>60</v>
      </c>
      <c r="I17" s="19">
        <v>0</v>
      </c>
      <c r="J17" s="19">
        <v>240</v>
      </c>
      <c r="K17" s="19">
        <v>240</v>
      </c>
      <c r="L17" s="19">
        <f t="shared" si="0"/>
        <v>540</v>
      </c>
      <c r="M17" s="18">
        <f>E17-L17</f>
        <v>0</v>
      </c>
      <c r="N17" s="18">
        <v>0</v>
      </c>
      <c r="O17" s="18">
        <v>0</v>
      </c>
      <c r="P17" s="18">
        <v>0</v>
      </c>
      <c r="Q17" s="18">
        <v>0</v>
      </c>
      <c r="R17" s="18">
        <f t="shared" si="1"/>
        <v>0</v>
      </c>
      <c r="S17" s="18">
        <f>M17-R17</f>
        <v>0</v>
      </c>
      <c r="T17" s="20">
        <v>0</v>
      </c>
      <c r="U17" s="20">
        <v>0</v>
      </c>
      <c r="V17" s="10">
        <v>0</v>
      </c>
      <c r="W17" s="10">
        <f t="shared" si="2"/>
        <v>0</v>
      </c>
      <c r="X17" s="10">
        <f t="shared" si="3"/>
        <v>0</v>
      </c>
      <c r="Y17" s="11">
        <f t="shared" si="4"/>
        <v>0</v>
      </c>
      <c r="Z17" s="11">
        <f t="shared" si="5"/>
        <v>0</v>
      </c>
      <c r="AA17" s="11">
        <f t="shared" si="6"/>
        <v>0</v>
      </c>
      <c r="AB17" s="21" t="str">
        <f>IF(OR(S17="",M17="",M17=0),"",S17/M17)</f>
        <v/>
      </c>
      <c r="AC17" s="21" t="str">
        <f>IF(OR(Y17="",S17="",S17=0),"",Y17/S17)</f>
        <v/>
      </c>
      <c r="AD17" s="21" t="str">
        <f>IF(OR(AA17="",Y17="",Y17=0),"",AA17/Y17)</f>
        <v/>
      </c>
      <c r="AE17" s="13">
        <f t="shared" si="7"/>
        <v>0</v>
      </c>
      <c r="AF17" s="42">
        <f t="shared" si="8"/>
        <v>1</v>
      </c>
      <c r="AG17" s="40"/>
      <c r="AH17" s="22">
        <f t="shared" si="9"/>
        <v>0</v>
      </c>
      <c r="AI17" s="23" t="s">
        <v>60</v>
      </c>
    </row>
    <row r="18" spans="1:35" x14ac:dyDescent="0.3">
      <c r="A18" s="16">
        <v>45031</v>
      </c>
      <c r="B18" s="17" t="s">
        <v>55</v>
      </c>
      <c r="C18" s="17">
        <v>25010</v>
      </c>
      <c r="D18" s="18">
        <v>1440</v>
      </c>
      <c r="E18" s="18">
        <v>540</v>
      </c>
      <c r="F18" s="19">
        <f>D18-E18</f>
        <v>900</v>
      </c>
      <c r="G18" s="9">
        <v>960</v>
      </c>
      <c r="H18" s="19">
        <v>0</v>
      </c>
      <c r="I18" s="19">
        <v>0</v>
      </c>
      <c r="J18" s="19">
        <v>170</v>
      </c>
      <c r="K18" s="19">
        <v>0</v>
      </c>
      <c r="L18" s="19">
        <f t="shared" si="0"/>
        <v>170</v>
      </c>
      <c r="M18" s="18">
        <f>E18-L18</f>
        <v>370</v>
      </c>
      <c r="N18" s="18">
        <v>0</v>
      </c>
      <c r="O18" s="18">
        <v>0</v>
      </c>
      <c r="P18" s="18">
        <v>0</v>
      </c>
      <c r="Q18" s="18">
        <v>0</v>
      </c>
      <c r="R18" s="18">
        <f t="shared" si="1"/>
        <v>0</v>
      </c>
      <c r="S18" s="18">
        <f>M18-R18</f>
        <v>370</v>
      </c>
      <c r="T18" s="20">
        <v>353342</v>
      </c>
      <c r="U18" s="20">
        <v>353342</v>
      </c>
      <c r="V18" s="10">
        <v>0</v>
      </c>
      <c r="W18" s="10">
        <f t="shared" si="2"/>
        <v>368.06458333333336</v>
      </c>
      <c r="X18" s="10">
        <f t="shared" si="3"/>
        <v>1.9354166666666401</v>
      </c>
      <c r="Y18" s="11">
        <f t="shared" si="4"/>
        <v>368.06458333333336</v>
      </c>
      <c r="Z18" s="11">
        <f t="shared" si="5"/>
        <v>0</v>
      </c>
      <c r="AA18" s="11">
        <f t="shared" si="6"/>
        <v>368.06458333333336</v>
      </c>
      <c r="AB18" s="21">
        <f>IF(OR(S18="",M18="",M18=0),"",S18/M18)</f>
        <v>1</v>
      </c>
      <c r="AC18" s="21">
        <f>IF(OR(Y18="",S18="",S18=0),"",Y18/S18)</f>
        <v>0.99476914414414419</v>
      </c>
      <c r="AD18" s="21">
        <f>IF(OR(AA18="",Y18="",Y18=0),"",AA18/Y18)</f>
        <v>1</v>
      </c>
      <c r="AE18" s="13">
        <f t="shared" si="7"/>
        <v>0.99476914414414419</v>
      </c>
      <c r="AF18" s="42">
        <f t="shared" si="8"/>
        <v>1</v>
      </c>
      <c r="AG18" s="40"/>
      <c r="AH18" s="22">
        <f t="shared" si="9"/>
        <v>0.68160108024691368</v>
      </c>
      <c r="AI18" s="23" t="s">
        <v>61</v>
      </c>
    </row>
    <row r="19" spans="1:35" ht="43.2" x14ac:dyDescent="0.3">
      <c r="A19" s="16">
        <v>45032</v>
      </c>
      <c r="B19" s="17" t="s">
        <v>55</v>
      </c>
      <c r="C19" s="17">
        <v>25011</v>
      </c>
      <c r="D19" s="18">
        <v>1440</v>
      </c>
      <c r="E19" s="18">
        <v>540</v>
      </c>
      <c r="F19" s="19">
        <f>D19-E19</f>
        <v>900</v>
      </c>
      <c r="G19" s="9">
        <v>960</v>
      </c>
      <c r="H19" s="19">
        <v>0</v>
      </c>
      <c r="I19" s="19">
        <v>0</v>
      </c>
      <c r="J19" s="19">
        <v>170</v>
      </c>
      <c r="K19" s="19">
        <v>0</v>
      </c>
      <c r="L19" s="19">
        <f t="shared" si="0"/>
        <v>170</v>
      </c>
      <c r="M19" s="18">
        <f>E19-L19</f>
        <v>370</v>
      </c>
      <c r="N19" s="18">
        <v>0</v>
      </c>
      <c r="O19" s="18">
        <v>0</v>
      </c>
      <c r="P19" s="18">
        <v>0</v>
      </c>
      <c r="Q19" s="18">
        <v>0</v>
      </c>
      <c r="R19" s="18">
        <f t="shared" si="1"/>
        <v>0</v>
      </c>
      <c r="S19" s="18">
        <f>M19-R19</f>
        <v>370</v>
      </c>
      <c r="T19" s="20">
        <v>353175</v>
      </c>
      <c r="U19" s="20">
        <v>353175</v>
      </c>
      <c r="V19" s="10">
        <v>0</v>
      </c>
      <c r="W19" s="10">
        <f t="shared" si="2"/>
        <v>367.890625</v>
      </c>
      <c r="X19" s="10">
        <f t="shared" si="3"/>
        <v>2.109375</v>
      </c>
      <c r="Y19" s="11">
        <f t="shared" si="4"/>
        <v>367.890625</v>
      </c>
      <c r="Z19" s="11">
        <f t="shared" si="5"/>
        <v>0</v>
      </c>
      <c r="AA19" s="11">
        <f t="shared" si="6"/>
        <v>367.890625</v>
      </c>
      <c r="AB19" s="21">
        <f>IF(OR(S19="",M19="",M19=0),"",S19/M19)</f>
        <v>1</v>
      </c>
      <c r="AC19" s="21">
        <f>IF(OR(Y19="",S19="",S19=0),"",Y19/S19)</f>
        <v>0.99429898648648651</v>
      </c>
      <c r="AD19" s="21">
        <f>IF(OR(AA19="",Y19="",Y19=0),"",AA19/Y19)</f>
        <v>1</v>
      </c>
      <c r="AE19" s="13">
        <f t="shared" si="7"/>
        <v>0.99429898648648651</v>
      </c>
      <c r="AF19" s="42">
        <f t="shared" si="8"/>
        <v>1</v>
      </c>
      <c r="AG19" s="40"/>
      <c r="AH19" s="22">
        <f t="shared" si="9"/>
        <v>0.68127893518518523</v>
      </c>
      <c r="AI19" s="23" t="s">
        <v>63</v>
      </c>
    </row>
    <row r="20" spans="1:35" x14ac:dyDescent="0.3">
      <c r="A20" s="7">
        <v>45033</v>
      </c>
      <c r="B20" s="8" t="s">
        <v>55</v>
      </c>
      <c r="C20" s="8">
        <v>25012</v>
      </c>
      <c r="D20" s="9">
        <v>1440</v>
      </c>
      <c r="E20" s="9">
        <v>600</v>
      </c>
      <c r="F20" s="9">
        <f>D20-E20</f>
        <v>840</v>
      </c>
      <c r="G20" s="9">
        <v>960</v>
      </c>
      <c r="H20" s="9">
        <v>0</v>
      </c>
      <c r="I20" s="9">
        <v>0</v>
      </c>
      <c r="J20" s="9">
        <v>230</v>
      </c>
      <c r="K20" s="9">
        <v>0</v>
      </c>
      <c r="L20" s="9">
        <f t="shared" si="0"/>
        <v>230</v>
      </c>
      <c r="M20" s="9">
        <f>E20-L20</f>
        <v>370</v>
      </c>
      <c r="N20" s="9">
        <v>0</v>
      </c>
      <c r="O20" s="9">
        <v>0</v>
      </c>
      <c r="P20" s="9">
        <v>0</v>
      </c>
      <c r="Q20" s="9">
        <v>0</v>
      </c>
      <c r="R20" s="9">
        <f t="shared" si="1"/>
        <v>0</v>
      </c>
      <c r="S20" s="9">
        <f>M20-R20</f>
        <v>370</v>
      </c>
      <c r="T20" s="10">
        <v>353359</v>
      </c>
      <c r="U20" s="10">
        <v>353359</v>
      </c>
      <c r="V20" s="10">
        <v>0</v>
      </c>
      <c r="W20" s="10">
        <f t="shared" si="2"/>
        <v>368.08229166666666</v>
      </c>
      <c r="X20" s="10">
        <f t="shared" si="3"/>
        <v>1.9177083333333371</v>
      </c>
      <c r="Y20" s="11">
        <f t="shared" si="4"/>
        <v>368.08229166666666</v>
      </c>
      <c r="Z20" s="11">
        <f t="shared" si="5"/>
        <v>0</v>
      </c>
      <c r="AA20" s="11">
        <f t="shared" si="6"/>
        <v>368.08229166666666</v>
      </c>
      <c r="AB20" s="12">
        <f>IF(OR(S20="",M20="",M20=0),"",S20/M20)</f>
        <v>1</v>
      </c>
      <c r="AC20" s="12">
        <f>IF(OR(Y20="",S20="",S20=0),"",Y20/S20)</f>
        <v>0.9948170045045045</v>
      </c>
      <c r="AD20" s="12">
        <f>IF(OR(AA20="",Y20="",Y20=0),"",AA20/Y20)</f>
        <v>1</v>
      </c>
      <c r="AE20" s="13">
        <f t="shared" si="7"/>
        <v>0.9948170045045045</v>
      </c>
      <c r="AF20" s="42">
        <f t="shared" si="8"/>
        <v>0.88888888888888884</v>
      </c>
      <c r="AG20" s="40"/>
      <c r="AH20" s="14">
        <f t="shared" si="9"/>
        <v>0.6134704861111111</v>
      </c>
      <c r="AI20" s="15" t="s">
        <v>53</v>
      </c>
    </row>
    <row r="21" spans="1:35" x14ac:dyDescent="0.3">
      <c r="A21" s="7">
        <v>45034</v>
      </c>
      <c r="B21" s="8"/>
      <c r="C21" s="8"/>
      <c r="D21" s="9">
        <v>1440</v>
      </c>
      <c r="E21" s="9">
        <v>540</v>
      </c>
      <c r="F21" s="9">
        <f>D21-E21</f>
        <v>900</v>
      </c>
      <c r="G21" s="9">
        <v>960</v>
      </c>
      <c r="H21" s="9">
        <v>60</v>
      </c>
      <c r="I21" s="9">
        <v>120</v>
      </c>
      <c r="J21" s="9">
        <v>360</v>
      </c>
      <c r="K21" s="9">
        <v>0</v>
      </c>
      <c r="L21" s="9">
        <f t="shared" si="0"/>
        <v>540</v>
      </c>
      <c r="M21" s="9">
        <f>E21-L21</f>
        <v>0</v>
      </c>
      <c r="N21" s="9">
        <v>0</v>
      </c>
      <c r="O21" s="9">
        <v>0</v>
      </c>
      <c r="P21" s="9">
        <v>0</v>
      </c>
      <c r="Q21" s="9">
        <v>0</v>
      </c>
      <c r="R21" s="9">
        <f t="shared" si="1"/>
        <v>0</v>
      </c>
      <c r="S21" s="9">
        <f>M21-R21</f>
        <v>0</v>
      </c>
      <c r="T21" s="10">
        <v>0</v>
      </c>
      <c r="U21" s="10">
        <v>0</v>
      </c>
      <c r="V21" s="10">
        <v>0</v>
      </c>
      <c r="W21" s="10">
        <f t="shared" si="2"/>
        <v>0</v>
      </c>
      <c r="X21" s="10">
        <f t="shared" si="3"/>
        <v>0</v>
      </c>
      <c r="Y21" s="11">
        <f t="shared" si="4"/>
        <v>0</v>
      </c>
      <c r="Z21" s="11">
        <f t="shared" si="5"/>
        <v>0</v>
      </c>
      <c r="AA21" s="11">
        <f t="shared" si="6"/>
        <v>0</v>
      </c>
      <c r="AB21" s="12" t="str">
        <f>IF(OR(S21="",M21="",M21=0),"",S21/M21)</f>
        <v/>
      </c>
      <c r="AC21" s="12" t="str">
        <f>IF(OR(Y21="",S21="",S21=0),"",Y21/S21)</f>
        <v/>
      </c>
      <c r="AD21" s="12" t="str">
        <f>IF(OR(AA21="",Y21="",Y21=0),"",AA21/Y21)</f>
        <v/>
      </c>
      <c r="AE21" s="13">
        <f t="shared" si="7"/>
        <v>0</v>
      </c>
      <c r="AF21" s="42">
        <f t="shared" si="8"/>
        <v>1</v>
      </c>
      <c r="AG21" s="40"/>
      <c r="AH21" s="14">
        <f t="shared" si="9"/>
        <v>0</v>
      </c>
      <c r="AI21" s="15"/>
    </row>
    <row r="22" spans="1:35" x14ac:dyDescent="0.3">
      <c r="A22" s="16">
        <v>45035</v>
      </c>
      <c r="B22" s="17"/>
      <c r="C22" s="17"/>
      <c r="D22" s="18">
        <v>1440</v>
      </c>
      <c r="E22" s="18">
        <v>540</v>
      </c>
      <c r="F22" s="19">
        <f>D22-E22</f>
        <v>900</v>
      </c>
      <c r="G22" s="9">
        <v>960</v>
      </c>
      <c r="H22" s="19">
        <v>60</v>
      </c>
      <c r="I22" s="19">
        <v>0</v>
      </c>
      <c r="J22" s="19">
        <v>0</v>
      </c>
      <c r="K22" s="19">
        <v>480</v>
      </c>
      <c r="L22" s="19">
        <f t="shared" si="0"/>
        <v>540</v>
      </c>
      <c r="M22" s="18">
        <f>E22-L22</f>
        <v>0</v>
      </c>
      <c r="N22" s="18">
        <v>0</v>
      </c>
      <c r="O22" s="18">
        <v>0</v>
      </c>
      <c r="P22" s="18">
        <v>0</v>
      </c>
      <c r="Q22" s="18">
        <v>0</v>
      </c>
      <c r="R22" s="18">
        <f t="shared" si="1"/>
        <v>0</v>
      </c>
      <c r="S22" s="18">
        <f>M22-R22</f>
        <v>0</v>
      </c>
      <c r="T22" s="20">
        <v>0</v>
      </c>
      <c r="U22" s="20">
        <v>0</v>
      </c>
      <c r="V22" s="10">
        <v>0</v>
      </c>
      <c r="W22" s="10">
        <f t="shared" si="2"/>
        <v>0</v>
      </c>
      <c r="X22" s="10">
        <f t="shared" si="3"/>
        <v>0</v>
      </c>
      <c r="Y22" s="11">
        <f t="shared" si="4"/>
        <v>0</v>
      </c>
      <c r="Z22" s="11">
        <f t="shared" si="5"/>
        <v>0</v>
      </c>
      <c r="AA22" s="11">
        <f t="shared" si="6"/>
        <v>0</v>
      </c>
      <c r="AB22" s="21" t="str">
        <f>IF(OR(S22="",M22="",M22=0),"",S22/M22)</f>
        <v/>
      </c>
      <c r="AC22" s="21" t="str">
        <f>IF(OR(Y22="",S22="",S22=0),"",Y22/S22)</f>
        <v/>
      </c>
      <c r="AD22" s="21" t="str">
        <f>IF(OR(AA22="",Y22="",Y22=0),"",AA22/Y22)</f>
        <v/>
      </c>
      <c r="AE22" s="13">
        <f t="shared" si="7"/>
        <v>0</v>
      </c>
      <c r="AF22" s="42">
        <f t="shared" si="8"/>
        <v>1</v>
      </c>
      <c r="AG22" s="40"/>
      <c r="AH22" s="22">
        <f t="shared" si="9"/>
        <v>0</v>
      </c>
      <c r="AI22" s="23" t="s">
        <v>57</v>
      </c>
    </row>
    <row r="23" spans="1:35" ht="43.2" x14ac:dyDescent="0.3">
      <c r="A23" s="16">
        <v>45036</v>
      </c>
      <c r="B23" s="17"/>
      <c r="C23" s="17"/>
      <c r="D23" s="18">
        <v>1440</v>
      </c>
      <c r="E23" s="18">
        <v>540</v>
      </c>
      <c r="F23" s="19">
        <f>D23-E23</f>
        <v>900</v>
      </c>
      <c r="G23" s="9">
        <v>960</v>
      </c>
      <c r="H23" s="19">
        <v>60</v>
      </c>
      <c r="I23" s="19">
        <v>0</v>
      </c>
      <c r="J23" s="19">
        <v>0</v>
      </c>
      <c r="K23" s="19">
        <v>480</v>
      </c>
      <c r="L23" s="19">
        <f t="shared" si="0"/>
        <v>540</v>
      </c>
      <c r="M23" s="18">
        <f>E23-L23</f>
        <v>0</v>
      </c>
      <c r="N23" s="18">
        <v>0</v>
      </c>
      <c r="O23" s="18">
        <v>0</v>
      </c>
      <c r="P23" s="18">
        <v>0</v>
      </c>
      <c r="Q23" s="18">
        <v>0</v>
      </c>
      <c r="R23" s="18">
        <f t="shared" si="1"/>
        <v>0</v>
      </c>
      <c r="S23" s="18">
        <f>M23-R23</f>
        <v>0</v>
      </c>
      <c r="T23" s="20">
        <v>0</v>
      </c>
      <c r="U23" s="20">
        <v>0</v>
      </c>
      <c r="V23" s="10">
        <v>0</v>
      </c>
      <c r="W23" s="10">
        <f t="shared" si="2"/>
        <v>0</v>
      </c>
      <c r="X23" s="10">
        <f t="shared" si="3"/>
        <v>0</v>
      </c>
      <c r="Y23" s="11">
        <f t="shared" si="4"/>
        <v>0</v>
      </c>
      <c r="Z23" s="11">
        <f t="shared" si="5"/>
        <v>0</v>
      </c>
      <c r="AA23" s="11">
        <f t="shared" si="6"/>
        <v>0</v>
      </c>
      <c r="AB23" s="21" t="str">
        <f>IF(OR(S23="",M23="",M23=0),"",S23/M23)</f>
        <v/>
      </c>
      <c r="AC23" s="21" t="str">
        <f>IF(OR(Y23="",S23="",S23=0),"",Y23/S23)</f>
        <v/>
      </c>
      <c r="AD23" s="21" t="str">
        <f>IF(OR(AA23="",Y23="",Y23=0),"",AA23/Y23)</f>
        <v/>
      </c>
      <c r="AE23" s="13">
        <f t="shared" si="7"/>
        <v>0</v>
      </c>
      <c r="AF23" s="42">
        <f t="shared" si="8"/>
        <v>1</v>
      </c>
      <c r="AG23" s="40"/>
      <c r="AH23" s="22">
        <f t="shared" si="9"/>
        <v>0</v>
      </c>
      <c r="AI23" s="23" t="s">
        <v>65</v>
      </c>
    </row>
    <row r="24" spans="1:35" x14ac:dyDescent="0.3">
      <c r="A24" s="16">
        <v>45037</v>
      </c>
      <c r="B24" s="17" t="s">
        <v>64</v>
      </c>
      <c r="C24" s="17">
        <v>25016</v>
      </c>
      <c r="D24" s="18">
        <v>1440</v>
      </c>
      <c r="E24" s="18">
        <v>540</v>
      </c>
      <c r="F24" s="19">
        <f>D24-E24</f>
        <v>900</v>
      </c>
      <c r="G24" s="9">
        <v>960</v>
      </c>
      <c r="H24" s="19">
        <v>0</v>
      </c>
      <c r="I24" s="19">
        <v>0</v>
      </c>
      <c r="J24" s="19">
        <v>170</v>
      </c>
      <c r="K24" s="19">
        <v>0</v>
      </c>
      <c r="L24" s="19">
        <f t="shared" si="0"/>
        <v>170</v>
      </c>
      <c r="M24" s="18">
        <f>E24-L24</f>
        <v>370</v>
      </c>
      <c r="N24" s="18">
        <v>0</v>
      </c>
      <c r="O24" s="18">
        <v>0</v>
      </c>
      <c r="P24" s="18">
        <v>0</v>
      </c>
      <c r="Q24" s="18">
        <v>0</v>
      </c>
      <c r="R24" s="18">
        <f t="shared" si="1"/>
        <v>0</v>
      </c>
      <c r="S24" s="18">
        <f>M24-R24</f>
        <v>370</v>
      </c>
      <c r="T24" s="20">
        <v>353616</v>
      </c>
      <c r="U24" s="20">
        <v>353616</v>
      </c>
      <c r="V24" s="10">
        <v>0</v>
      </c>
      <c r="W24" s="10">
        <f t="shared" si="2"/>
        <v>368.35</v>
      </c>
      <c r="X24" s="10">
        <f t="shared" si="3"/>
        <v>1.6499999999999773</v>
      </c>
      <c r="Y24" s="11">
        <f t="shared" si="4"/>
        <v>368.35</v>
      </c>
      <c r="Z24" s="11">
        <f t="shared" si="5"/>
        <v>0</v>
      </c>
      <c r="AA24" s="11">
        <f t="shared" si="6"/>
        <v>368.35</v>
      </c>
      <c r="AB24" s="21">
        <f>IF(OR(S24="",M24="",M24=0),"",S24/M24)</f>
        <v>1</v>
      </c>
      <c r="AC24" s="21">
        <f>IF(OR(Y24="",S24="",S24=0),"",Y24/S24)</f>
        <v>0.99554054054054064</v>
      </c>
      <c r="AD24" s="21">
        <f>IF(OR(AA24="",Y24="",Y24=0),"",AA24/Y24)</f>
        <v>1</v>
      </c>
      <c r="AE24" s="13">
        <f t="shared" si="7"/>
        <v>0.99554054054054064</v>
      </c>
      <c r="AF24" s="42">
        <f t="shared" si="8"/>
        <v>1</v>
      </c>
      <c r="AG24" s="40"/>
      <c r="AH24" s="22">
        <f t="shared" si="9"/>
        <v>0.68212962962962964</v>
      </c>
      <c r="AI24" s="23" t="s">
        <v>57</v>
      </c>
    </row>
    <row r="25" spans="1:35" ht="28.8" x14ac:dyDescent="0.3">
      <c r="A25" s="16">
        <v>45038</v>
      </c>
      <c r="B25" s="17" t="s">
        <v>64</v>
      </c>
      <c r="C25" s="17">
        <v>25017</v>
      </c>
      <c r="D25" s="18">
        <v>1440</v>
      </c>
      <c r="E25" s="18">
        <v>540</v>
      </c>
      <c r="F25" s="19">
        <f>D25-E25</f>
        <v>900</v>
      </c>
      <c r="G25" s="9">
        <v>960</v>
      </c>
      <c r="H25" s="19">
        <v>0</v>
      </c>
      <c r="I25" s="19">
        <v>0</v>
      </c>
      <c r="J25" s="19">
        <v>170</v>
      </c>
      <c r="K25" s="19">
        <v>0</v>
      </c>
      <c r="L25" s="19">
        <f t="shared" si="0"/>
        <v>170</v>
      </c>
      <c r="M25" s="18">
        <f>E25-L25</f>
        <v>370</v>
      </c>
      <c r="N25" s="18">
        <v>0</v>
      </c>
      <c r="O25" s="18">
        <v>0</v>
      </c>
      <c r="P25" s="18">
        <v>0</v>
      </c>
      <c r="Q25" s="18">
        <v>0</v>
      </c>
      <c r="R25" s="18">
        <f t="shared" si="1"/>
        <v>0</v>
      </c>
      <c r="S25" s="18">
        <f>M25-R25</f>
        <v>370</v>
      </c>
      <c r="T25" s="20">
        <v>353445</v>
      </c>
      <c r="U25" s="20">
        <v>353445</v>
      </c>
      <c r="V25" s="10">
        <v>0</v>
      </c>
      <c r="W25" s="10">
        <f t="shared" si="2"/>
        <v>368.171875</v>
      </c>
      <c r="X25" s="10">
        <f t="shared" si="3"/>
        <v>1.828125</v>
      </c>
      <c r="Y25" s="11">
        <f t="shared" si="4"/>
        <v>368.171875</v>
      </c>
      <c r="Z25" s="11">
        <f t="shared" si="5"/>
        <v>0</v>
      </c>
      <c r="AA25" s="11">
        <f t="shared" si="6"/>
        <v>368.171875</v>
      </c>
      <c r="AB25" s="21">
        <f>IF(OR(S25="",M25="",M25=0),"",S25/M25)</f>
        <v>1</v>
      </c>
      <c r="AC25" s="21">
        <f>IF(OR(Y25="",S25="",S25=0),"",Y25/S25)</f>
        <v>0.99505912162162158</v>
      </c>
      <c r="AD25" s="21">
        <f>IF(OR(AA25="",Y25="",Y25=0),"",AA25/Y25)</f>
        <v>1</v>
      </c>
      <c r="AE25" s="13">
        <f t="shared" si="7"/>
        <v>0.99505912162162158</v>
      </c>
      <c r="AF25" s="42">
        <f t="shared" si="8"/>
        <v>1</v>
      </c>
      <c r="AG25" s="40"/>
      <c r="AH25" s="22">
        <f t="shared" si="9"/>
        <v>0.68179976851851853</v>
      </c>
      <c r="AI25" s="23" t="s">
        <v>66</v>
      </c>
    </row>
    <row r="26" spans="1:35" ht="57.6" x14ac:dyDescent="0.3">
      <c r="A26" s="16">
        <v>45039</v>
      </c>
      <c r="B26" s="17" t="s">
        <v>64</v>
      </c>
      <c r="C26" s="17">
        <v>25018</v>
      </c>
      <c r="D26" s="18">
        <v>1440</v>
      </c>
      <c r="E26" s="18">
        <v>600</v>
      </c>
      <c r="F26" s="19">
        <f>D26-E26</f>
        <v>840</v>
      </c>
      <c r="G26" s="9">
        <v>960</v>
      </c>
      <c r="H26" s="19">
        <v>0</v>
      </c>
      <c r="I26" s="19">
        <v>0</v>
      </c>
      <c r="J26" s="19">
        <v>230</v>
      </c>
      <c r="K26" s="19">
        <v>0</v>
      </c>
      <c r="L26" s="19">
        <f t="shared" si="0"/>
        <v>230</v>
      </c>
      <c r="M26" s="18">
        <f>E26-L26</f>
        <v>370</v>
      </c>
      <c r="N26" s="18">
        <v>0</v>
      </c>
      <c r="O26" s="18">
        <v>0</v>
      </c>
      <c r="P26" s="18">
        <v>0</v>
      </c>
      <c r="Q26" s="18">
        <v>0</v>
      </c>
      <c r="R26" s="18">
        <f t="shared" si="1"/>
        <v>0</v>
      </c>
      <c r="S26" s="18">
        <f>M26-R26</f>
        <v>370</v>
      </c>
      <c r="T26" s="20">
        <v>353574</v>
      </c>
      <c r="U26" s="20">
        <v>353574</v>
      </c>
      <c r="V26" s="10">
        <v>0</v>
      </c>
      <c r="W26" s="10">
        <f t="shared" si="2"/>
        <v>368.30624999999998</v>
      </c>
      <c r="X26" s="10">
        <f t="shared" si="3"/>
        <v>1.6937500000000227</v>
      </c>
      <c r="Y26" s="11">
        <f t="shared" si="4"/>
        <v>368.30624999999998</v>
      </c>
      <c r="Z26" s="11">
        <f t="shared" si="5"/>
        <v>0</v>
      </c>
      <c r="AA26" s="11">
        <f t="shared" si="6"/>
        <v>368.30624999999998</v>
      </c>
      <c r="AB26" s="21">
        <f>IF(OR(S26="",M26="",M26=0),"",S26/M26)</f>
        <v>1</v>
      </c>
      <c r="AC26" s="21">
        <f>IF(OR(Y26="",S26="",S26=0),"",Y26/S26)</f>
        <v>0.99542229729729725</v>
      </c>
      <c r="AD26" s="21">
        <f>IF(OR(AA26="",Y26="",Y26=0),"",AA26/Y26)</f>
        <v>1</v>
      </c>
      <c r="AE26" s="13">
        <f t="shared" si="7"/>
        <v>0.99542229729729725</v>
      </c>
      <c r="AF26" s="42">
        <f t="shared" si="8"/>
        <v>0.88888888888888884</v>
      </c>
      <c r="AG26" s="40"/>
      <c r="AH26" s="22">
        <f t="shared" si="9"/>
        <v>0.61384374999999991</v>
      </c>
      <c r="AI26" s="23" t="s">
        <v>67</v>
      </c>
    </row>
    <row r="27" spans="1:35" x14ac:dyDescent="0.3">
      <c r="A27" s="7">
        <v>45040</v>
      </c>
      <c r="B27" s="8" t="s">
        <v>64</v>
      </c>
      <c r="C27" s="8">
        <v>25019</v>
      </c>
      <c r="D27" s="9">
        <v>1440</v>
      </c>
      <c r="E27" s="9">
        <v>540</v>
      </c>
      <c r="F27" s="9">
        <f>D27-E27</f>
        <v>900</v>
      </c>
      <c r="G27" s="9">
        <v>960</v>
      </c>
      <c r="H27" s="9">
        <v>0</v>
      </c>
      <c r="I27" s="9">
        <v>0</v>
      </c>
      <c r="J27" s="9">
        <v>170</v>
      </c>
      <c r="K27" s="9">
        <v>0</v>
      </c>
      <c r="L27" s="9">
        <f t="shared" si="0"/>
        <v>170</v>
      </c>
      <c r="M27" s="9">
        <f>E27-L27</f>
        <v>370</v>
      </c>
      <c r="N27" s="9">
        <v>0</v>
      </c>
      <c r="O27" s="9">
        <v>0</v>
      </c>
      <c r="P27" s="9">
        <v>0</v>
      </c>
      <c r="Q27" s="9">
        <v>0</v>
      </c>
      <c r="R27" s="9">
        <f t="shared" si="1"/>
        <v>0</v>
      </c>
      <c r="S27" s="9">
        <f>M27-R27</f>
        <v>370</v>
      </c>
      <c r="T27" s="10">
        <v>353446</v>
      </c>
      <c r="U27" s="10">
        <v>353446</v>
      </c>
      <c r="V27" s="10">
        <v>0</v>
      </c>
      <c r="W27" s="10">
        <f t="shared" si="2"/>
        <v>368.17291666666665</v>
      </c>
      <c r="X27" s="10">
        <f t="shared" si="3"/>
        <v>1.8270833333333485</v>
      </c>
      <c r="Y27" s="11">
        <f t="shared" si="4"/>
        <v>368.17291666666665</v>
      </c>
      <c r="Z27" s="11">
        <f t="shared" si="5"/>
        <v>0</v>
      </c>
      <c r="AA27" s="11">
        <f t="shared" si="6"/>
        <v>368.17291666666665</v>
      </c>
      <c r="AB27" s="12">
        <f>IF(OR(S27="",M27="",M27=0),"",S27/M27)</f>
        <v>1</v>
      </c>
      <c r="AC27" s="12">
        <f>IF(OR(Y27="",S27="",S27=0),"",Y27/S27)</f>
        <v>0.9950619369369369</v>
      </c>
      <c r="AD27" s="12">
        <f>IF(OR(AA27="",Y27="",Y27=0),"",AA27/Y27)</f>
        <v>1</v>
      </c>
      <c r="AE27" s="13">
        <f t="shared" si="7"/>
        <v>0.9950619369369369</v>
      </c>
      <c r="AF27" s="42">
        <f t="shared" si="8"/>
        <v>1</v>
      </c>
      <c r="AG27" s="40"/>
      <c r="AH27" s="14">
        <f t="shared" si="9"/>
        <v>0.68180169753086417</v>
      </c>
      <c r="AI27" s="15" t="s">
        <v>53</v>
      </c>
    </row>
    <row r="28" spans="1:35" x14ac:dyDescent="0.3">
      <c r="A28" s="7">
        <v>45041</v>
      </c>
      <c r="B28" s="8" t="s">
        <v>64</v>
      </c>
      <c r="C28" s="8">
        <v>25020</v>
      </c>
      <c r="D28" s="9">
        <v>1440</v>
      </c>
      <c r="E28" s="9">
        <v>600</v>
      </c>
      <c r="F28" s="9">
        <f>D28-E28</f>
        <v>840</v>
      </c>
      <c r="G28" s="9">
        <v>960</v>
      </c>
      <c r="H28" s="9">
        <v>0</v>
      </c>
      <c r="I28" s="9">
        <v>0</v>
      </c>
      <c r="J28" s="9">
        <v>230</v>
      </c>
      <c r="K28" s="9">
        <v>0</v>
      </c>
      <c r="L28" s="9">
        <f t="shared" si="0"/>
        <v>230</v>
      </c>
      <c r="M28" s="9">
        <f>E28-L28</f>
        <v>370</v>
      </c>
      <c r="N28" s="9">
        <v>0</v>
      </c>
      <c r="O28" s="9">
        <v>0</v>
      </c>
      <c r="P28" s="9">
        <v>0</v>
      </c>
      <c r="Q28" s="9">
        <v>0</v>
      </c>
      <c r="R28" s="9">
        <f t="shared" si="1"/>
        <v>0</v>
      </c>
      <c r="S28" s="9">
        <f>M28-R28</f>
        <v>370</v>
      </c>
      <c r="T28" s="10">
        <v>353352</v>
      </c>
      <c r="U28" s="10">
        <v>353352</v>
      </c>
      <c r="V28" s="10">
        <v>0</v>
      </c>
      <c r="W28" s="10">
        <f t="shared" si="2"/>
        <v>368.07499999999999</v>
      </c>
      <c r="X28" s="10">
        <f t="shared" si="3"/>
        <v>1.9250000000000114</v>
      </c>
      <c r="Y28" s="11">
        <f t="shared" si="4"/>
        <v>368.07499999999999</v>
      </c>
      <c r="Z28" s="11">
        <f t="shared" si="5"/>
        <v>0</v>
      </c>
      <c r="AA28" s="11">
        <f t="shared" si="6"/>
        <v>368.07499999999999</v>
      </c>
      <c r="AB28" s="12">
        <f>IF(OR(S28="",M28="",M28=0),"",S28/M28)</f>
        <v>1</v>
      </c>
      <c r="AC28" s="12">
        <f>IF(OR(Y28="",S28="",S28=0),"",Y28/S28)</f>
        <v>0.99479729729729727</v>
      </c>
      <c r="AD28" s="12">
        <f>IF(OR(AA28="",Y28="",Y28=0),"",AA28/Y28)</f>
        <v>1</v>
      </c>
      <c r="AE28" s="13">
        <f t="shared" si="7"/>
        <v>0.99479729729729727</v>
      </c>
      <c r="AF28" s="42">
        <f t="shared" si="8"/>
        <v>0.88888888888888884</v>
      </c>
      <c r="AG28" s="40"/>
      <c r="AH28" s="14">
        <f t="shared" si="9"/>
        <v>0.61345833333333333</v>
      </c>
      <c r="AI28" s="15"/>
    </row>
    <row r="29" spans="1:35" ht="57.6" x14ac:dyDescent="0.3">
      <c r="A29" s="16">
        <v>45042</v>
      </c>
      <c r="B29" s="17" t="s">
        <v>64</v>
      </c>
      <c r="C29" s="17">
        <v>25021</v>
      </c>
      <c r="D29" s="18">
        <v>1440</v>
      </c>
      <c r="E29" s="18">
        <v>540</v>
      </c>
      <c r="F29" s="19">
        <f>D29-E29</f>
        <v>900</v>
      </c>
      <c r="G29" s="9">
        <v>960</v>
      </c>
      <c r="H29" s="19">
        <v>0</v>
      </c>
      <c r="I29" s="19">
        <v>0</v>
      </c>
      <c r="J29" s="19">
        <v>170</v>
      </c>
      <c r="K29" s="19">
        <v>0</v>
      </c>
      <c r="L29" s="19">
        <f t="shared" si="0"/>
        <v>170</v>
      </c>
      <c r="M29" s="18">
        <f>E29-L29</f>
        <v>370</v>
      </c>
      <c r="N29" s="18">
        <v>0</v>
      </c>
      <c r="O29" s="18">
        <v>0</v>
      </c>
      <c r="P29" s="18">
        <v>0</v>
      </c>
      <c r="Q29" s="18">
        <v>0</v>
      </c>
      <c r="R29" s="18">
        <f t="shared" si="1"/>
        <v>0</v>
      </c>
      <c r="S29" s="18">
        <f>M29-R29</f>
        <v>370</v>
      </c>
      <c r="T29" s="20">
        <v>353531</v>
      </c>
      <c r="U29" s="20">
        <v>353531</v>
      </c>
      <c r="V29" s="10">
        <v>0</v>
      </c>
      <c r="W29" s="10">
        <f t="shared" si="2"/>
        <v>368.26145833333334</v>
      </c>
      <c r="X29" s="10">
        <f t="shared" si="3"/>
        <v>1.7385416666666629</v>
      </c>
      <c r="Y29" s="11">
        <f t="shared" si="4"/>
        <v>368.26145833333334</v>
      </c>
      <c r="Z29" s="11">
        <f t="shared" si="5"/>
        <v>0</v>
      </c>
      <c r="AA29" s="11">
        <f t="shared" si="6"/>
        <v>368.26145833333334</v>
      </c>
      <c r="AB29" s="21">
        <f>IF(OR(S29="",M29="",M29=0),"",S29/M29)</f>
        <v>1</v>
      </c>
      <c r="AC29" s="21">
        <f>IF(OR(Y29="",S29="",S29=0),"",Y29/S29)</f>
        <v>0.99530123873873877</v>
      </c>
      <c r="AD29" s="21">
        <f>IF(OR(AA29="",Y29="",Y29=0),"",AA29/Y29)</f>
        <v>1</v>
      </c>
      <c r="AE29" s="13">
        <f t="shared" si="7"/>
        <v>0.99530123873873877</v>
      </c>
      <c r="AF29" s="42">
        <f t="shared" si="8"/>
        <v>1</v>
      </c>
      <c r="AG29" s="40"/>
      <c r="AH29" s="22">
        <f t="shared" si="9"/>
        <v>0.68196566358024691</v>
      </c>
      <c r="AI29" s="23" t="s">
        <v>67</v>
      </c>
    </row>
    <row r="30" spans="1:35" x14ac:dyDescent="0.3">
      <c r="A30" s="16">
        <v>45043</v>
      </c>
      <c r="B30" s="17"/>
      <c r="C30" s="17"/>
      <c r="D30" s="18">
        <v>1440</v>
      </c>
      <c r="E30" s="18">
        <v>540</v>
      </c>
      <c r="F30" s="19">
        <f>D30-E30</f>
        <v>900</v>
      </c>
      <c r="G30" s="9">
        <v>960</v>
      </c>
      <c r="H30" s="19">
        <v>0</v>
      </c>
      <c r="I30" s="19">
        <v>0</v>
      </c>
      <c r="J30" s="19">
        <v>0</v>
      </c>
      <c r="K30" s="19">
        <v>0</v>
      </c>
      <c r="L30" s="19">
        <f t="shared" si="0"/>
        <v>0</v>
      </c>
      <c r="M30" s="18">
        <f>E30-L30</f>
        <v>540</v>
      </c>
      <c r="N30" s="18">
        <v>0</v>
      </c>
      <c r="O30" s="18">
        <v>0</v>
      </c>
      <c r="P30" s="18">
        <v>0</v>
      </c>
      <c r="Q30" s="18">
        <v>0</v>
      </c>
      <c r="R30" s="18">
        <f t="shared" si="1"/>
        <v>0</v>
      </c>
      <c r="S30" s="18">
        <f>M30-R30</f>
        <v>540</v>
      </c>
      <c r="T30" s="20">
        <v>0</v>
      </c>
      <c r="U30" s="20">
        <v>0</v>
      </c>
      <c r="V30" s="10">
        <v>0</v>
      </c>
      <c r="W30" s="10">
        <f t="shared" si="2"/>
        <v>0</v>
      </c>
      <c r="X30" s="10">
        <f t="shared" si="3"/>
        <v>540</v>
      </c>
      <c r="Y30" s="11">
        <f t="shared" si="4"/>
        <v>0</v>
      </c>
      <c r="Z30" s="11">
        <f t="shared" si="5"/>
        <v>0</v>
      </c>
      <c r="AA30" s="11">
        <f t="shared" si="6"/>
        <v>0</v>
      </c>
      <c r="AB30" s="21">
        <f>IF(OR(S30="",M30="",M30=0),"",S30/M30)</f>
        <v>1</v>
      </c>
      <c r="AC30" s="21">
        <f>IF(OR(Y30="",S30="",S30=0),"",Y30/S30)</f>
        <v>0</v>
      </c>
      <c r="AD30" s="21" t="str">
        <f>IF(OR(AA30="",Y30="",Y30=0),"",AA30/Y30)</f>
        <v/>
      </c>
      <c r="AE30" s="13">
        <f t="shared" si="7"/>
        <v>0</v>
      </c>
      <c r="AF30" s="42">
        <f t="shared" si="8"/>
        <v>1</v>
      </c>
      <c r="AG30" s="40"/>
      <c r="AH30" s="22">
        <f t="shared" si="9"/>
        <v>0</v>
      </c>
      <c r="AI30" s="23"/>
    </row>
    <row r="31" spans="1:35" x14ac:dyDescent="0.3">
      <c r="A31" s="16">
        <v>45044</v>
      </c>
      <c r="B31" s="17"/>
      <c r="C31" s="17"/>
      <c r="D31" s="18">
        <v>1440</v>
      </c>
      <c r="E31" s="18">
        <v>540</v>
      </c>
      <c r="F31" s="19">
        <f>D31-E31</f>
        <v>900</v>
      </c>
      <c r="G31" s="9">
        <v>960</v>
      </c>
      <c r="H31" s="19">
        <v>60</v>
      </c>
      <c r="I31" s="19">
        <v>120</v>
      </c>
      <c r="J31" s="19">
        <v>360</v>
      </c>
      <c r="K31" s="19">
        <v>0</v>
      </c>
      <c r="L31" s="19">
        <f t="shared" si="0"/>
        <v>540</v>
      </c>
      <c r="M31" s="18">
        <f>E31-L31</f>
        <v>0</v>
      </c>
      <c r="N31" s="18">
        <v>0</v>
      </c>
      <c r="O31" s="18">
        <v>0</v>
      </c>
      <c r="P31" s="18">
        <v>0</v>
      </c>
      <c r="Q31" s="18">
        <v>0</v>
      </c>
      <c r="R31" s="18">
        <f t="shared" si="1"/>
        <v>0</v>
      </c>
      <c r="S31" s="18">
        <f>M31-R31</f>
        <v>0</v>
      </c>
      <c r="T31" s="20">
        <v>0</v>
      </c>
      <c r="U31" s="20">
        <v>0</v>
      </c>
      <c r="V31" s="10">
        <v>0</v>
      </c>
      <c r="W31" s="10">
        <f t="shared" si="2"/>
        <v>0</v>
      </c>
      <c r="X31" s="10">
        <f t="shared" si="3"/>
        <v>0</v>
      </c>
      <c r="Y31" s="11">
        <f t="shared" si="4"/>
        <v>0</v>
      </c>
      <c r="Z31" s="11">
        <f t="shared" si="5"/>
        <v>0</v>
      </c>
      <c r="AA31" s="11">
        <f t="shared" si="6"/>
        <v>0</v>
      </c>
      <c r="AB31" s="21" t="str">
        <f>IF(OR(S31="",M31="",M31=0),"",S31/M31)</f>
        <v/>
      </c>
      <c r="AC31" s="21" t="str">
        <f>IF(OR(Y31="",S31="",S31=0),"",Y31/S31)</f>
        <v/>
      </c>
      <c r="AD31" s="21" t="str">
        <f>IF(OR(AA31="",Y31="",Y31=0),"",AA31/Y31)</f>
        <v/>
      </c>
      <c r="AE31" s="13">
        <f t="shared" si="7"/>
        <v>0</v>
      </c>
      <c r="AF31" s="42">
        <f t="shared" si="8"/>
        <v>1</v>
      </c>
      <c r="AG31" s="40"/>
      <c r="AH31" s="22">
        <f t="shared" si="9"/>
        <v>0</v>
      </c>
      <c r="AI31" s="23" t="s">
        <v>68</v>
      </c>
    </row>
    <row r="32" spans="1:35" x14ac:dyDescent="0.3">
      <c r="A32" s="16">
        <v>45045</v>
      </c>
      <c r="B32" s="17"/>
      <c r="C32" s="17"/>
      <c r="D32" s="18">
        <v>1440</v>
      </c>
      <c r="E32" s="18">
        <v>540</v>
      </c>
      <c r="F32" s="19">
        <f>D32-E32</f>
        <v>900</v>
      </c>
      <c r="G32" s="9">
        <v>960</v>
      </c>
      <c r="H32" s="19">
        <v>60</v>
      </c>
      <c r="I32" s="19">
        <v>0</v>
      </c>
      <c r="J32" s="19">
        <v>0</v>
      </c>
      <c r="K32" s="19">
        <v>480</v>
      </c>
      <c r="L32" s="19">
        <f t="shared" si="0"/>
        <v>540</v>
      </c>
      <c r="M32" s="18">
        <f>E32-L32</f>
        <v>0</v>
      </c>
      <c r="N32" s="18">
        <v>0</v>
      </c>
      <c r="O32" s="18">
        <v>0</v>
      </c>
      <c r="P32" s="18">
        <v>0</v>
      </c>
      <c r="Q32" s="18">
        <v>0</v>
      </c>
      <c r="R32" s="18">
        <f t="shared" si="1"/>
        <v>0</v>
      </c>
      <c r="S32" s="18">
        <f>M32-R32</f>
        <v>0</v>
      </c>
      <c r="T32" s="20">
        <v>0</v>
      </c>
      <c r="U32" s="20">
        <v>0</v>
      </c>
      <c r="V32" s="10">
        <v>0</v>
      </c>
      <c r="W32" s="10">
        <f t="shared" si="2"/>
        <v>0</v>
      </c>
      <c r="X32" s="10">
        <f t="shared" si="3"/>
        <v>0</v>
      </c>
      <c r="Y32" s="11">
        <f t="shared" si="4"/>
        <v>0</v>
      </c>
      <c r="Z32" s="11">
        <f t="shared" si="5"/>
        <v>0</v>
      </c>
      <c r="AA32" s="11">
        <f t="shared" si="6"/>
        <v>0</v>
      </c>
      <c r="AB32" s="21" t="str">
        <f>IF(OR(S32="",M32="",M32=0),"",S32/M32)</f>
        <v/>
      </c>
      <c r="AC32" s="21" t="str">
        <f>IF(OR(Y32="",S32="",S32=0),"",Y32/S32)</f>
        <v/>
      </c>
      <c r="AD32" s="21" t="str">
        <f>IF(OR(AA32="",Y32="",Y32=0),"",AA32/Y32)</f>
        <v/>
      </c>
      <c r="AE32" s="13">
        <f t="shared" si="7"/>
        <v>0</v>
      </c>
      <c r="AF32" s="42">
        <f t="shared" si="8"/>
        <v>1</v>
      </c>
      <c r="AG32" s="40"/>
      <c r="AH32" s="22">
        <f t="shared" si="9"/>
        <v>0</v>
      </c>
      <c r="AI32" s="23" t="s">
        <v>69</v>
      </c>
    </row>
    <row r="33" spans="1:35" x14ac:dyDescent="0.3">
      <c r="A33" s="16">
        <v>45046</v>
      </c>
      <c r="B33" s="17" t="s">
        <v>74</v>
      </c>
      <c r="C33" s="17">
        <v>25019</v>
      </c>
      <c r="D33" s="18">
        <v>1440</v>
      </c>
      <c r="E33" s="18">
        <v>750</v>
      </c>
      <c r="F33" s="19">
        <f>D33-E33</f>
        <v>690</v>
      </c>
      <c r="G33" s="9">
        <v>960</v>
      </c>
      <c r="H33" s="19">
        <v>0</v>
      </c>
      <c r="I33" s="19">
        <v>0</v>
      </c>
      <c r="J33" s="19">
        <v>170</v>
      </c>
      <c r="K33" s="19">
        <v>0</v>
      </c>
      <c r="L33" s="19">
        <f t="shared" si="0"/>
        <v>170</v>
      </c>
      <c r="M33" s="18">
        <f>E33-L33</f>
        <v>580</v>
      </c>
      <c r="N33" s="18">
        <v>157</v>
      </c>
      <c r="O33" s="18">
        <v>0</v>
      </c>
      <c r="P33" s="18">
        <v>0</v>
      </c>
      <c r="Q33" s="18">
        <v>60</v>
      </c>
      <c r="R33" s="18">
        <f t="shared" si="1"/>
        <v>217</v>
      </c>
      <c r="S33" s="18">
        <f>M33-R33</f>
        <v>363</v>
      </c>
      <c r="T33" s="20">
        <v>346710</v>
      </c>
      <c r="U33" s="20">
        <v>346710</v>
      </c>
      <c r="V33" s="10">
        <v>0</v>
      </c>
      <c r="W33" s="10">
        <f t="shared" si="2"/>
        <v>361.15625</v>
      </c>
      <c r="X33" s="10">
        <f t="shared" si="3"/>
        <v>1.84375</v>
      </c>
      <c r="Y33" s="11">
        <f t="shared" si="4"/>
        <v>361.15625</v>
      </c>
      <c r="Z33" s="11">
        <f t="shared" si="5"/>
        <v>0</v>
      </c>
      <c r="AA33" s="11">
        <f t="shared" si="6"/>
        <v>361.15625</v>
      </c>
      <c r="AB33" s="21">
        <f>IF(OR(S33="",M33="",M33=0),"",S33/M33)</f>
        <v>0.62586206896551722</v>
      </c>
      <c r="AC33" s="21">
        <f>IF(OR(Y33="",S33="",S33=0),"",Y33/S33)</f>
        <v>0.99492079889807161</v>
      </c>
      <c r="AD33" s="21">
        <f>IF(OR(AA33="",Y33="",Y33=0),"",AA33/Y33)</f>
        <v>1</v>
      </c>
      <c r="AE33" s="13">
        <f t="shared" si="7"/>
        <v>0.62268318965517244</v>
      </c>
      <c r="AF33" s="42">
        <f t="shared" si="8"/>
        <v>0.69565217391304346</v>
      </c>
      <c r="AG33" s="40"/>
      <c r="AH33" s="22">
        <f t="shared" si="9"/>
        <v>0.48154166666666665</v>
      </c>
      <c r="AI33" s="23"/>
    </row>
    <row r="34" spans="1:35" x14ac:dyDescent="0.3">
      <c r="A34" s="24" t="s">
        <v>70</v>
      </c>
      <c r="B34" s="25"/>
      <c r="C34" s="25"/>
      <c r="D34" s="26">
        <f>SUM(D4:D33)</f>
        <v>43200</v>
      </c>
      <c r="E34" s="26">
        <f>SUM(E4:E33)</f>
        <v>17190</v>
      </c>
      <c r="F34" s="26">
        <f>SUM(F4:F33)</f>
        <v>26010</v>
      </c>
      <c r="G34" s="26"/>
      <c r="H34" s="26">
        <f>SUM(H4:H33)</f>
        <v>720</v>
      </c>
      <c r="I34" s="26"/>
      <c r="J34" s="26"/>
      <c r="K34" s="26"/>
      <c r="L34" s="26">
        <f>SUM(L4:L33)</f>
        <v>9700</v>
      </c>
      <c r="M34" s="26">
        <f>SUM(M4:M33)</f>
        <v>7490</v>
      </c>
      <c r="N34" s="26"/>
      <c r="O34" s="26"/>
      <c r="P34" s="26"/>
      <c r="Q34" s="26"/>
      <c r="R34" s="26">
        <f>SUM(R4:R33)</f>
        <v>703</v>
      </c>
      <c r="S34" s="26">
        <f>SUM(S4:S33)</f>
        <v>6787</v>
      </c>
      <c r="T34" s="27">
        <f>SUM(T4:T33)</f>
        <v>5963115</v>
      </c>
      <c r="U34" s="27">
        <f>SUM(U4:U33)</f>
        <v>5963115</v>
      </c>
      <c r="V34" s="27">
        <f>SUM(V4:V33)</f>
        <v>0</v>
      </c>
      <c r="W34" s="27"/>
      <c r="X34" s="27"/>
      <c r="Y34" s="28">
        <f>SUM(Y4:Y33)</f>
        <v>6211.578125</v>
      </c>
      <c r="Z34" s="28"/>
      <c r="AA34" s="28">
        <f>SUM(AA4:AA33)</f>
        <v>6211.578125</v>
      </c>
      <c r="AB34" s="29">
        <f>IF(OR(S34="",M34="",M34=0),"",S34/M34)</f>
        <v>0.90614152202937248</v>
      </c>
      <c r="AC34" s="29">
        <f>IF(OR(Y34="",S34="",S34=0),"",Y34/S34)</f>
        <v>0.91521705097981432</v>
      </c>
      <c r="AD34" s="29">
        <f>IF(OR(AA34="",Y34="",Y34=0),"",AA34/Y34)</f>
        <v>1</v>
      </c>
      <c r="AE34" s="13">
        <f t="shared" si="7"/>
        <v>0.82931617156208282</v>
      </c>
      <c r="AF34" s="43">
        <f>(480*30)/(E34-H34)</f>
        <v>0.87431693989071035</v>
      </c>
      <c r="AG34" s="44">
        <f>AE34*AF34</f>
        <v>0.72508517732203959</v>
      </c>
      <c r="AH34" s="30">
        <f t="shared" si="9"/>
        <v>0.3613483493310064</v>
      </c>
      <c r="AI34" s="31" t="s">
        <v>71</v>
      </c>
    </row>
    <row r="35" spans="1:35" x14ac:dyDescent="0.3">
      <c r="A35" s="32" t="s">
        <v>72</v>
      </c>
      <c r="B35" s="33"/>
      <c r="C35" s="33"/>
      <c r="D35" s="34">
        <f>D34/60</f>
        <v>720</v>
      </c>
      <c r="E35" s="34">
        <f>E34/60</f>
        <v>286.5</v>
      </c>
      <c r="F35" s="34">
        <f>F34/60</f>
        <v>433.5</v>
      </c>
      <c r="G35" s="34"/>
      <c r="H35" s="34"/>
      <c r="I35" s="34"/>
      <c r="J35" s="34"/>
      <c r="K35" s="34"/>
      <c r="L35" s="34">
        <f>L34/60</f>
        <v>161.66666666666666</v>
      </c>
      <c r="M35" s="34">
        <f>M34/60</f>
        <v>124.83333333333333</v>
      </c>
      <c r="N35" s="34"/>
      <c r="O35" s="34"/>
      <c r="P35" s="34"/>
      <c r="Q35" s="34"/>
      <c r="R35" s="34">
        <f>R34/60</f>
        <v>11.716666666666667</v>
      </c>
      <c r="S35" s="34">
        <f>S34/60</f>
        <v>113.11666666666666</v>
      </c>
      <c r="T35" s="34">
        <f>SUM(T5:T34)</f>
        <v>11926230</v>
      </c>
      <c r="U35" s="34">
        <f>SUM(U5:U34)</f>
        <v>11926230</v>
      </c>
      <c r="V35" s="34">
        <f>SUM(V5:V34)</f>
        <v>0</v>
      </c>
      <c r="W35" s="34"/>
      <c r="X35" s="34"/>
      <c r="Y35" s="35">
        <f>Y34/60</f>
        <v>103.52630208333333</v>
      </c>
      <c r="Z35" s="35"/>
      <c r="AA35" s="35">
        <f>AA34/60</f>
        <v>103.52630208333333</v>
      </c>
      <c r="AB35" s="36">
        <f>AB34</f>
        <v>0.90614152202937248</v>
      </c>
      <c r="AC35" s="36">
        <f>AC34</f>
        <v>0.91521705097981432</v>
      </c>
      <c r="AD35" s="36">
        <f>AD34</f>
        <v>1</v>
      </c>
      <c r="AE35" s="37">
        <f>AE34</f>
        <v>0.82931617156208282</v>
      </c>
      <c r="AF35" s="34"/>
      <c r="AG35" s="41"/>
      <c r="AH35" s="38">
        <f>AH34</f>
        <v>0.3613483493310064</v>
      </c>
      <c r="AI35" s="39" t="s">
        <v>73</v>
      </c>
    </row>
  </sheetData>
  <mergeCells count="1">
    <mergeCell ref="A1:AD1"/>
  </mergeCells>
  <conditionalFormatting sqref="AE4:AE35">
    <cfRule type="expression" dxfId="5" priority="1">
      <formula>AND(ISNUMBER(AE4),AE4&lt;0.55)</formula>
    </cfRule>
  </conditionalFormatting>
  <conditionalFormatting sqref="AE4:AE35">
    <cfRule type="expression" dxfId="4" priority="2">
      <formula>AND(ISNUMBER(AE4),AE4&gt;=0.55)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08EE-B486-4232-AF85-7ACD17402F9C}">
  <dimension ref="A1:AG36"/>
  <sheetViews>
    <sheetView tabSelected="1" workbookViewId="0">
      <selection sqref="A1:AG36"/>
    </sheetView>
  </sheetViews>
  <sheetFormatPr baseColWidth="10" defaultRowHeight="14.4" x14ac:dyDescent="0.3"/>
  <cols>
    <col min="33" max="33" width="11.5546875" customWidth="1"/>
  </cols>
  <sheetData>
    <row r="1" spans="1:33" ht="16.8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2"/>
      <c r="AF1" s="2"/>
    </row>
    <row r="2" spans="1:33" ht="39.6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/>
      <c r="I2" s="5"/>
      <c r="J2" s="5"/>
      <c r="K2" s="5"/>
      <c r="L2" s="4" t="s">
        <v>8</v>
      </c>
      <c r="M2" s="5" t="s">
        <v>9</v>
      </c>
      <c r="N2" s="5"/>
      <c r="O2" s="5"/>
      <c r="P2" s="5"/>
      <c r="Q2" s="5"/>
      <c r="R2" s="5" t="s">
        <v>10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 t="s">
        <v>18</v>
      </c>
      <c r="AA2" s="5" t="s">
        <v>19</v>
      </c>
      <c r="AB2" s="5" t="s">
        <v>20</v>
      </c>
      <c r="AC2" s="5" t="s">
        <v>21</v>
      </c>
      <c r="AD2" s="5" t="s">
        <v>22</v>
      </c>
      <c r="AE2" s="5" t="s">
        <v>23</v>
      </c>
      <c r="AF2" s="5" t="s">
        <v>24</v>
      </c>
      <c r="AG2" s="5" t="s">
        <v>25</v>
      </c>
    </row>
    <row r="3" spans="1:33" ht="20.399999999999999" x14ac:dyDescent="0.3">
      <c r="A3" s="46"/>
      <c r="B3" s="46"/>
      <c r="C3" s="46"/>
      <c r="D3" s="46" t="s">
        <v>26</v>
      </c>
      <c r="E3" s="46" t="s">
        <v>27</v>
      </c>
      <c r="F3" s="46" t="s">
        <v>28</v>
      </c>
      <c r="G3" s="46"/>
      <c r="H3" s="46" t="s">
        <v>29</v>
      </c>
      <c r="I3" s="46" t="s">
        <v>30</v>
      </c>
      <c r="J3" s="46" t="s">
        <v>31</v>
      </c>
      <c r="K3" s="46" t="s">
        <v>32</v>
      </c>
      <c r="L3" s="46" t="s">
        <v>33</v>
      </c>
      <c r="M3" s="46" t="s">
        <v>34</v>
      </c>
      <c r="N3" s="46" t="s">
        <v>35</v>
      </c>
      <c r="O3" s="46" t="s">
        <v>36</v>
      </c>
      <c r="P3" s="46" t="s">
        <v>37</v>
      </c>
      <c r="Q3" s="46" t="s">
        <v>38</v>
      </c>
      <c r="R3" s="46" t="s">
        <v>39</v>
      </c>
      <c r="S3" s="46" t="s">
        <v>40</v>
      </c>
      <c r="T3" s="46" t="s">
        <v>41</v>
      </c>
      <c r="U3" s="46" t="s">
        <v>42</v>
      </c>
      <c r="V3" s="46" t="s">
        <v>43</v>
      </c>
      <c r="W3" s="46" t="s">
        <v>44</v>
      </c>
      <c r="X3" s="46"/>
      <c r="Y3" s="46" t="s">
        <v>45</v>
      </c>
      <c r="Z3" s="46"/>
      <c r="AA3" s="46" t="s">
        <v>46</v>
      </c>
      <c r="AB3" s="46" t="s">
        <v>47</v>
      </c>
      <c r="AC3" s="46" t="s">
        <v>48</v>
      </c>
      <c r="AD3" s="46" t="s">
        <v>49</v>
      </c>
      <c r="AE3" s="46" t="s">
        <v>50</v>
      </c>
      <c r="AF3" s="2"/>
      <c r="AG3" s="2" t="s">
        <v>51</v>
      </c>
    </row>
    <row r="4" spans="1:33" x14ac:dyDescent="0.3">
      <c r="A4" s="47">
        <v>46023</v>
      </c>
      <c r="B4" s="48"/>
      <c r="C4" s="48"/>
      <c r="D4" s="49">
        <v>1440</v>
      </c>
      <c r="E4" s="49">
        <v>0</v>
      </c>
      <c r="F4" s="49">
        <f>D4-E4</f>
        <v>1440</v>
      </c>
      <c r="G4" s="49">
        <v>1020</v>
      </c>
      <c r="H4" s="49"/>
      <c r="I4" s="49"/>
      <c r="J4" s="49"/>
      <c r="K4" s="49"/>
      <c r="L4" s="49">
        <f>SUM(H4:K4)</f>
        <v>0</v>
      </c>
      <c r="M4" s="49">
        <f>E4-L4</f>
        <v>0</v>
      </c>
      <c r="N4" s="49"/>
      <c r="O4" s="49"/>
      <c r="P4" s="49"/>
      <c r="Q4" s="49"/>
      <c r="R4" s="49">
        <f>SUM(N4:Q4)</f>
        <v>0</v>
      </c>
      <c r="S4" s="49">
        <f>M4-R4</f>
        <v>0</v>
      </c>
      <c r="T4" s="50">
        <v>0</v>
      </c>
      <c r="U4" s="50">
        <f>T4-V4</f>
        <v>0</v>
      </c>
      <c r="V4" s="50">
        <v>0</v>
      </c>
      <c r="W4" s="50">
        <f>(T4/G4)</f>
        <v>0</v>
      </c>
      <c r="X4" s="50">
        <f>S4-W4</f>
        <v>0</v>
      </c>
      <c r="Y4" s="51">
        <f>S4-X4</f>
        <v>0</v>
      </c>
      <c r="Z4" s="51">
        <f>V4/G4</f>
        <v>0</v>
      </c>
      <c r="AA4" s="51">
        <f>Y4-Z4</f>
        <v>0</v>
      </c>
      <c r="AB4" s="52" t="str">
        <f>IF(OR(S4="",M4="",M4=0),"",S4/M4)</f>
        <v/>
      </c>
      <c r="AC4" s="52" t="str">
        <f>IF(OR(Y4="",S4="",S4=0),"",Y4/S4)</f>
        <v/>
      </c>
      <c r="AD4" s="52" t="str">
        <f>IF(OR(AA4="",Y4="",Y4=0),"",AA4/Y4)</f>
        <v/>
      </c>
      <c r="AE4" s="53">
        <f>IF(M4&gt;0,AA4/M4,0)</f>
        <v>0</v>
      </c>
      <c r="AF4" s="14">
        <f>IF(E4&gt;0,AA4/E4,0)</f>
        <v>0</v>
      </c>
      <c r="AG4" s="15" t="s">
        <v>52</v>
      </c>
    </row>
    <row r="5" spans="1:33" x14ac:dyDescent="0.3">
      <c r="A5" s="54">
        <v>46024</v>
      </c>
      <c r="B5" s="55"/>
      <c r="C5" s="55"/>
      <c r="D5" s="56">
        <v>1440</v>
      </c>
      <c r="E5" s="56">
        <v>0</v>
      </c>
      <c r="F5" s="57">
        <f>D5-E5</f>
        <v>1440</v>
      </c>
      <c r="G5" s="49">
        <v>1020</v>
      </c>
      <c r="H5" s="57"/>
      <c r="I5" s="57"/>
      <c r="J5" s="57"/>
      <c r="K5" s="57"/>
      <c r="L5" s="56">
        <f t="shared" ref="L5:L34" si="0">SUM(H5:K5)</f>
        <v>0</v>
      </c>
      <c r="M5" s="56">
        <f>E5-L5</f>
        <v>0</v>
      </c>
      <c r="N5" s="56"/>
      <c r="O5" s="56"/>
      <c r="P5" s="56"/>
      <c r="Q5" s="56"/>
      <c r="R5" s="56">
        <f t="shared" ref="R5:R34" si="1">SUM(N5:Q5)</f>
        <v>0</v>
      </c>
      <c r="S5" s="56">
        <f>M5-R5</f>
        <v>0</v>
      </c>
      <c r="T5" s="58">
        <v>0</v>
      </c>
      <c r="U5" s="58">
        <f>T5-V5</f>
        <v>0</v>
      </c>
      <c r="V5" s="59">
        <v>0</v>
      </c>
      <c r="W5" s="50">
        <f t="shared" ref="W5:W34" si="2">(T5/G5)</f>
        <v>0</v>
      </c>
      <c r="X5" s="50">
        <f t="shared" ref="X5:X34" si="3">S5-W5</f>
        <v>0</v>
      </c>
      <c r="Y5" s="51">
        <f t="shared" ref="Y5:Y34" si="4">S5-X5</f>
        <v>0</v>
      </c>
      <c r="Z5" s="51">
        <f t="shared" ref="Z5:Z34" si="5">V5/G5</f>
        <v>0</v>
      </c>
      <c r="AA5" s="51">
        <f t="shared" ref="AA5:AA34" si="6">Y5-Z5</f>
        <v>0</v>
      </c>
      <c r="AB5" s="60" t="str">
        <f>IF(OR(S5="",M5="",M5=0),"",S5/M5)</f>
        <v/>
      </c>
      <c r="AC5" s="60" t="str">
        <f>IF(OR(Y5="",S5="",S5=0),"",Y5/S5)</f>
        <v/>
      </c>
      <c r="AD5" s="60" t="str">
        <f>IF(OR(AA5="",Y5="",Y5=0),"",AA5/Y5)</f>
        <v/>
      </c>
      <c r="AE5" s="53">
        <f t="shared" ref="AE5:AE35" si="7">IF(M5&gt;0,AA5/M5,0)</f>
        <v>0</v>
      </c>
      <c r="AF5" s="22">
        <f t="shared" ref="AF5:AF35" si="8">IF(E5&gt;0,AA5/E5,0)</f>
        <v>0</v>
      </c>
      <c r="AG5" s="23"/>
    </row>
    <row r="6" spans="1:33" x14ac:dyDescent="0.3">
      <c r="A6" s="47">
        <v>46025</v>
      </c>
      <c r="B6" s="48"/>
      <c r="C6" s="48"/>
      <c r="D6" s="49">
        <v>1440</v>
      </c>
      <c r="E6" s="49">
        <v>0</v>
      </c>
      <c r="F6" s="49">
        <f>D6-E6</f>
        <v>1440</v>
      </c>
      <c r="G6" s="49">
        <v>1020</v>
      </c>
      <c r="H6" s="49"/>
      <c r="I6" s="49"/>
      <c r="J6" s="49"/>
      <c r="K6" s="49"/>
      <c r="L6" s="49">
        <f t="shared" si="0"/>
        <v>0</v>
      </c>
      <c r="M6" s="49">
        <f>E6-L6</f>
        <v>0</v>
      </c>
      <c r="N6" s="49"/>
      <c r="O6" s="49"/>
      <c r="P6" s="49"/>
      <c r="Q6" s="49"/>
      <c r="R6" s="49">
        <f t="shared" si="1"/>
        <v>0</v>
      </c>
      <c r="S6" s="49">
        <f>M6-R6</f>
        <v>0</v>
      </c>
      <c r="T6" s="50">
        <v>0</v>
      </c>
      <c r="U6" s="50">
        <f>T6-V6</f>
        <v>0</v>
      </c>
      <c r="V6" s="50">
        <v>0</v>
      </c>
      <c r="W6" s="50">
        <f t="shared" si="2"/>
        <v>0</v>
      </c>
      <c r="X6" s="50">
        <f t="shared" si="3"/>
        <v>0</v>
      </c>
      <c r="Y6" s="51">
        <f t="shared" si="4"/>
        <v>0</v>
      </c>
      <c r="Z6" s="51">
        <f t="shared" si="5"/>
        <v>0</v>
      </c>
      <c r="AA6" s="51">
        <f t="shared" si="6"/>
        <v>0</v>
      </c>
      <c r="AB6" s="52" t="str">
        <f>IF(OR(S6="",M6="",M6=0),"",S6/M6)</f>
        <v/>
      </c>
      <c r="AC6" s="52" t="str">
        <f>IF(OR(Y6="",S6="",S6=0),"",Y6/S6)</f>
        <v/>
      </c>
      <c r="AD6" s="52" t="str">
        <f>IF(OR(AA6="",Y6="",Y6=0),"",AA6/Y6)</f>
        <v/>
      </c>
      <c r="AE6" s="53">
        <f t="shared" si="7"/>
        <v>0</v>
      </c>
      <c r="AF6" s="14">
        <f t="shared" si="8"/>
        <v>0</v>
      </c>
      <c r="AG6" s="15" t="s">
        <v>53</v>
      </c>
    </row>
    <row r="7" spans="1:33" x14ac:dyDescent="0.3">
      <c r="A7" s="47">
        <v>46026</v>
      </c>
      <c r="B7" s="48"/>
      <c r="C7" s="48"/>
      <c r="D7" s="49">
        <v>1440</v>
      </c>
      <c r="E7" s="49">
        <v>0</v>
      </c>
      <c r="F7" s="49">
        <f>D7-E7</f>
        <v>1440</v>
      </c>
      <c r="G7" s="49">
        <v>1020</v>
      </c>
      <c r="H7" s="49"/>
      <c r="I7" s="49"/>
      <c r="J7" s="49"/>
      <c r="K7" s="49"/>
      <c r="L7" s="49">
        <f t="shared" si="0"/>
        <v>0</v>
      </c>
      <c r="M7" s="49">
        <f>E7-L7</f>
        <v>0</v>
      </c>
      <c r="N7" s="49"/>
      <c r="O7" s="49"/>
      <c r="P7" s="49"/>
      <c r="Q7" s="49"/>
      <c r="R7" s="49">
        <f t="shared" si="1"/>
        <v>0</v>
      </c>
      <c r="S7" s="49">
        <f>M7-R7</f>
        <v>0</v>
      </c>
      <c r="T7" s="50">
        <v>0</v>
      </c>
      <c r="U7" s="50">
        <f>T7-V7</f>
        <v>0</v>
      </c>
      <c r="V7" s="50">
        <v>0</v>
      </c>
      <c r="W7" s="50">
        <f t="shared" si="2"/>
        <v>0</v>
      </c>
      <c r="X7" s="50">
        <f t="shared" si="3"/>
        <v>0</v>
      </c>
      <c r="Y7" s="51">
        <f t="shared" si="4"/>
        <v>0</v>
      </c>
      <c r="Z7" s="51">
        <f t="shared" si="5"/>
        <v>0</v>
      </c>
      <c r="AA7" s="51">
        <f t="shared" si="6"/>
        <v>0</v>
      </c>
      <c r="AB7" s="52" t="str">
        <f>IF(OR(S7="",M7="",M7=0),"",S7/M7)</f>
        <v/>
      </c>
      <c r="AC7" s="52" t="str">
        <f>IF(OR(Y7="",S7="",S7=0),"",Y7/S7)</f>
        <v/>
      </c>
      <c r="AD7" s="52" t="str">
        <f>IF(OR(AA7="",Y7="",Y7=0),"",AA7/Y7)</f>
        <v/>
      </c>
      <c r="AE7" s="53">
        <f t="shared" si="7"/>
        <v>0</v>
      </c>
      <c r="AF7" s="14">
        <f t="shared" si="8"/>
        <v>0</v>
      </c>
      <c r="AG7" s="15"/>
    </row>
    <row r="8" spans="1:33" ht="86.4" x14ac:dyDescent="0.3">
      <c r="A8" s="54">
        <v>46027</v>
      </c>
      <c r="B8" s="55"/>
      <c r="C8" s="55"/>
      <c r="D8" s="56">
        <v>1440</v>
      </c>
      <c r="E8" s="56">
        <v>540</v>
      </c>
      <c r="F8" s="57">
        <f>D8-E8</f>
        <v>900</v>
      </c>
      <c r="G8" s="49">
        <v>1020</v>
      </c>
      <c r="H8" s="57">
        <v>60</v>
      </c>
      <c r="I8" s="57"/>
      <c r="J8" s="57"/>
      <c r="K8" s="57">
        <v>480</v>
      </c>
      <c r="L8" s="56">
        <f t="shared" si="0"/>
        <v>540</v>
      </c>
      <c r="M8" s="56">
        <f>E8-L8</f>
        <v>0</v>
      </c>
      <c r="N8" s="56"/>
      <c r="O8" s="56"/>
      <c r="P8" s="56"/>
      <c r="Q8" s="56"/>
      <c r="R8" s="56">
        <f t="shared" si="1"/>
        <v>0</v>
      </c>
      <c r="S8" s="56">
        <f>M8-R8</f>
        <v>0</v>
      </c>
      <c r="T8" s="58">
        <v>0</v>
      </c>
      <c r="U8" s="58">
        <f>T8-V8</f>
        <v>0</v>
      </c>
      <c r="V8" s="59">
        <v>0</v>
      </c>
      <c r="W8" s="50">
        <f t="shared" si="2"/>
        <v>0</v>
      </c>
      <c r="X8" s="50">
        <f t="shared" si="3"/>
        <v>0</v>
      </c>
      <c r="Y8" s="51">
        <f t="shared" si="4"/>
        <v>0</v>
      </c>
      <c r="Z8" s="51">
        <f t="shared" si="5"/>
        <v>0</v>
      </c>
      <c r="AA8" s="51">
        <f t="shared" si="6"/>
        <v>0</v>
      </c>
      <c r="AB8" s="60" t="str">
        <f>IF(OR(S8="",M8="",M8=0),"",S8/M8)</f>
        <v/>
      </c>
      <c r="AC8" s="60" t="str">
        <f>IF(OR(Y8="",S8="",S8=0),"",Y8/S8)</f>
        <v/>
      </c>
      <c r="AD8" s="60" t="str">
        <f>IF(OR(AA8="",Y8="",Y8=0),"",AA8/Y8)</f>
        <v/>
      </c>
      <c r="AE8" s="53">
        <f t="shared" si="7"/>
        <v>0</v>
      </c>
      <c r="AF8" s="22">
        <f t="shared" si="8"/>
        <v>0</v>
      </c>
      <c r="AG8" s="23" t="s">
        <v>54</v>
      </c>
    </row>
    <row r="9" spans="1:33" x14ac:dyDescent="0.3">
      <c r="A9" s="54">
        <v>46028</v>
      </c>
      <c r="B9" s="55"/>
      <c r="C9" s="55"/>
      <c r="D9" s="56">
        <v>1440</v>
      </c>
      <c r="E9" s="56">
        <v>540</v>
      </c>
      <c r="F9" s="57">
        <f>D9-E9</f>
        <v>900</v>
      </c>
      <c r="G9" s="49">
        <v>1020</v>
      </c>
      <c r="H9" s="57">
        <v>60</v>
      </c>
      <c r="I9" s="57"/>
      <c r="J9" s="57"/>
      <c r="K9" s="57">
        <v>480</v>
      </c>
      <c r="L9" s="57">
        <f t="shared" si="0"/>
        <v>540</v>
      </c>
      <c r="M9" s="56">
        <f>E9-L9</f>
        <v>0</v>
      </c>
      <c r="N9" s="56"/>
      <c r="O9" s="56"/>
      <c r="P9" s="56"/>
      <c r="Q9" s="56"/>
      <c r="R9" s="56">
        <f t="shared" si="1"/>
        <v>0</v>
      </c>
      <c r="S9" s="56">
        <f>M9-R9</f>
        <v>0</v>
      </c>
      <c r="T9" s="58">
        <v>0</v>
      </c>
      <c r="U9" s="58">
        <f>T9-V9</f>
        <v>0</v>
      </c>
      <c r="V9" s="59">
        <v>0</v>
      </c>
      <c r="W9" s="50">
        <f t="shared" si="2"/>
        <v>0</v>
      </c>
      <c r="X9" s="50">
        <f t="shared" si="3"/>
        <v>0</v>
      </c>
      <c r="Y9" s="51">
        <f t="shared" si="4"/>
        <v>0</v>
      </c>
      <c r="Z9" s="51">
        <f t="shared" si="5"/>
        <v>0</v>
      </c>
      <c r="AA9" s="51">
        <f t="shared" si="6"/>
        <v>0</v>
      </c>
      <c r="AB9" s="60" t="str">
        <f>IF(OR(S9="",M9="",M9=0),"",S9/M9)</f>
        <v/>
      </c>
      <c r="AC9" s="60" t="str">
        <f>IF(OR(Y9="",S9="",S9=0),"",Y9/S9)</f>
        <v/>
      </c>
      <c r="AD9" s="60" t="str">
        <f>IF(OR(AA9="",Y9="",Y9=0),"",AA9/Y9)</f>
        <v/>
      </c>
      <c r="AE9" s="53">
        <f t="shared" si="7"/>
        <v>0</v>
      </c>
      <c r="AF9" s="22">
        <f t="shared" si="8"/>
        <v>0</v>
      </c>
      <c r="AG9" s="23"/>
    </row>
    <row r="10" spans="1:33" x14ac:dyDescent="0.3">
      <c r="A10" s="54">
        <v>46029</v>
      </c>
      <c r="B10" s="55"/>
      <c r="C10" s="55"/>
      <c r="D10" s="56">
        <v>1440</v>
      </c>
      <c r="E10" s="56">
        <v>540</v>
      </c>
      <c r="F10" s="57">
        <f>D10-E10</f>
        <v>900</v>
      </c>
      <c r="G10" s="49">
        <v>1020</v>
      </c>
      <c r="H10" s="57">
        <v>60</v>
      </c>
      <c r="I10" s="57"/>
      <c r="J10" s="57"/>
      <c r="K10" s="57">
        <v>480</v>
      </c>
      <c r="L10" s="57">
        <f t="shared" si="0"/>
        <v>540</v>
      </c>
      <c r="M10" s="56">
        <f>E10-L10</f>
        <v>0</v>
      </c>
      <c r="N10" s="56"/>
      <c r="O10" s="56"/>
      <c r="P10" s="56"/>
      <c r="Q10" s="56"/>
      <c r="R10" s="56">
        <f t="shared" si="1"/>
        <v>0</v>
      </c>
      <c r="S10" s="56">
        <f>M10-R10</f>
        <v>0</v>
      </c>
      <c r="T10" s="58">
        <v>0</v>
      </c>
      <c r="U10" s="58">
        <f>T10-V10</f>
        <v>0</v>
      </c>
      <c r="V10" s="59">
        <v>0</v>
      </c>
      <c r="W10" s="50">
        <f t="shared" si="2"/>
        <v>0</v>
      </c>
      <c r="X10" s="50">
        <f t="shared" si="3"/>
        <v>0</v>
      </c>
      <c r="Y10" s="51">
        <f t="shared" si="4"/>
        <v>0</v>
      </c>
      <c r="Z10" s="51">
        <f t="shared" si="5"/>
        <v>0</v>
      </c>
      <c r="AA10" s="51">
        <f t="shared" si="6"/>
        <v>0</v>
      </c>
      <c r="AB10" s="60" t="str">
        <f>IF(OR(S10="",M10="",M10=0),"",S10/M10)</f>
        <v/>
      </c>
      <c r="AC10" s="60" t="str">
        <f>IF(OR(Y10="",S10="",S10=0),"",Y10/S10)</f>
        <v/>
      </c>
      <c r="AD10" s="60" t="str">
        <f>IF(OR(AA10="",Y10="",Y10=0),"",AA10/Y10)</f>
        <v/>
      </c>
      <c r="AE10" s="53">
        <f t="shared" si="7"/>
        <v>0</v>
      </c>
      <c r="AF10" s="22">
        <f t="shared" si="8"/>
        <v>0</v>
      </c>
      <c r="AG10" s="23"/>
    </row>
    <row r="11" spans="1:33" ht="100.8" x14ac:dyDescent="0.3">
      <c r="A11" s="54">
        <v>46030</v>
      </c>
      <c r="B11" s="55" t="s">
        <v>55</v>
      </c>
      <c r="C11" s="55">
        <v>26001</v>
      </c>
      <c r="D11" s="56">
        <v>1440</v>
      </c>
      <c r="E11" s="56">
        <v>540</v>
      </c>
      <c r="F11" s="57">
        <f>D11-E11</f>
        <v>900</v>
      </c>
      <c r="G11" s="49">
        <v>1020</v>
      </c>
      <c r="H11" s="57">
        <v>0</v>
      </c>
      <c r="I11" s="57">
        <v>0</v>
      </c>
      <c r="J11" s="57">
        <v>170</v>
      </c>
      <c r="K11" s="57">
        <v>0</v>
      </c>
      <c r="L11" s="57">
        <f t="shared" si="0"/>
        <v>170</v>
      </c>
      <c r="M11" s="56">
        <f>E11-L11</f>
        <v>370</v>
      </c>
      <c r="N11" s="56">
        <v>22</v>
      </c>
      <c r="O11" s="56">
        <v>0</v>
      </c>
      <c r="P11" s="56">
        <v>0</v>
      </c>
      <c r="Q11" s="56">
        <v>0</v>
      </c>
      <c r="R11" s="56">
        <f t="shared" si="1"/>
        <v>22</v>
      </c>
      <c r="S11" s="56">
        <f>M11-R11</f>
        <v>348</v>
      </c>
      <c r="T11" s="58">
        <v>352917</v>
      </c>
      <c r="U11" s="58">
        <f>T11-V11</f>
        <v>345834</v>
      </c>
      <c r="V11" s="59">
        <v>7083</v>
      </c>
      <c r="W11" s="50">
        <f t="shared" si="2"/>
        <v>345.99705882352941</v>
      </c>
      <c r="X11" s="50">
        <f t="shared" si="3"/>
        <v>2.0029411764705856</v>
      </c>
      <c r="Y11" s="51">
        <f t="shared" si="4"/>
        <v>345.99705882352941</v>
      </c>
      <c r="Z11" s="51">
        <f t="shared" si="5"/>
        <v>6.9441176470588237</v>
      </c>
      <c r="AA11" s="51">
        <f t="shared" si="6"/>
        <v>339.0529411764706</v>
      </c>
      <c r="AB11" s="60">
        <f>IF(OR(S11="",M11="",M11=0),"",S11/M11)</f>
        <v>0.94054054054054059</v>
      </c>
      <c r="AC11" s="60">
        <f>IF(OR(Y11="",S11="",S11=0),"",Y11/S11)</f>
        <v>0.99424442190669371</v>
      </c>
      <c r="AD11" s="60">
        <f>IF(OR(AA11="",Y11="",Y11=0),"",AA11/Y11)</f>
        <v>0.97993012521357714</v>
      </c>
      <c r="AE11" s="53">
        <f t="shared" si="7"/>
        <v>0.91635930047694758</v>
      </c>
      <c r="AF11" s="22">
        <f t="shared" si="8"/>
        <v>0.62787581699346406</v>
      </c>
      <c r="AG11" s="23" t="s">
        <v>56</v>
      </c>
    </row>
    <row r="12" spans="1:33" x14ac:dyDescent="0.3">
      <c r="A12" s="54">
        <v>46031</v>
      </c>
      <c r="B12" s="55" t="s">
        <v>55</v>
      </c>
      <c r="C12" s="55">
        <v>26002</v>
      </c>
      <c r="D12" s="56">
        <v>1440</v>
      </c>
      <c r="E12" s="56">
        <v>540</v>
      </c>
      <c r="F12" s="57">
        <f>D12-E12</f>
        <v>900</v>
      </c>
      <c r="G12" s="49">
        <v>1020</v>
      </c>
      <c r="H12" s="57">
        <v>0</v>
      </c>
      <c r="I12" s="57">
        <v>0</v>
      </c>
      <c r="J12" s="57">
        <v>193</v>
      </c>
      <c r="K12" s="57">
        <v>0</v>
      </c>
      <c r="L12" s="57">
        <f t="shared" si="0"/>
        <v>193</v>
      </c>
      <c r="M12" s="56">
        <f>E12-L12</f>
        <v>347</v>
      </c>
      <c r="N12" s="56">
        <v>0</v>
      </c>
      <c r="O12" s="56">
        <v>0</v>
      </c>
      <c r="P12" s="56">
        <v>0</v>
      </c>
      <c r="Q12" s="56">
        <v>0</v>
      </c>
      <c r="R12" s="56">
        <f t="shared" si="1"/>
        <v>0</v>
      </c>
      <c r="S12" s="56">
        <f>M12-R12</f>
        <v>347</v>
      </c>
      <c r="T12" s="58">
        <v>351416</v>
      </c>
      <c r="U12" s="58">
        <f>T12-V12</f>
        <v>342832</v>
      </c>
      <c r="V12" s="59">
        <v>8584</v>
      </c>
      <c r="W12" s="50">
        <f t="shared" si="2"/>
        <v>344.52549019607841</v>
      </c>
      <c r="X12" s="50">
        <f t="shared" si="3"/>
        <v>2.4745098039215918</v>
      </c>
      <c r="Y12" s="51">
        <f t="shared" si="4"/>
        <v>344.52549019607841</v>
      </c>
      <c r="Z12" s="51">
        <f t="shared" si="5"/>
        <v>8.4156862745098042</v>
      </c>
      <c r="AA12" s="51">
        <f t="shared" si="6"/>
        <v>336.10980392156858</v>
      </c>
      <c r="AB12" s="60">
        <f>IF(OR(S12="",M12="",M12=0),"",S12/M12)</f>
        <v>1</v>
      </c>
      <c r="AC12" s="60">
        <f>IF(OR(Y12="",S12="",S12=0),"",Y12/S12)</f>
        <v>0.99286884782731533</v>
      </c>
      <c r="AD12" s="60">
        <f>IF(OR(AA12="",Y12="",Y12=0),"",AA12/Y12)</f>
        <v>0.97557310993238777</v>
      </c>
      <c r="AE12" s="53">
        <f t="shared" si="7"/>
        <v>0.96861614962988063</v>
      </c>
      <c r="AF12" s="22">
        <f t="shared" si="8"/>
        <v>0.62242556281771955</v>
      </c>
      <c r="AG12" s="23" t="s">
        <v>57</v>
      </c>
    </row>
    <row r="13" spans="1:33" x14ac:dyDescent="0.3">
      <c r="A13" s="47">
        <v>46032</v>
      </c>
      <c r="B13" s="48"/>
      <c r="C13" s="48"/>
      <c r="D13" s="49">
        <v>1440</v>
      </c>
      <c r="E13" s="49">
        <v>0</v>
      </c>
      <c r="F13" s="49">
        <f>D13-E13</f>
        <v>1440</v>
      </c>
      <c r="G13" s="49">
        <v>1020</v>
      </c>
      <c r="H13" s="49"/>
      <c r="I13" s="49"/>
      <c r="J13" s="49"/>
      <c r="K13" s="49"/>
      <c r="L13" s="49">
        <f t="shared" si="0"/>
        <v>0</v>
      </c>
      <c r="M13" s="49">
        <f>E13-L13</f>
        <v>0</v>
      </c>
      <c r="N13" s="49"/>
      <c r="O13" s="49"/>
      <c r="P13" s="49"/>
      <c r="Q13" s="49"/>
      <c r="R13" s="49">
        <f t="shared" si="1"/>
        <v>0</v>
      </c>
      <c r="S13" s="49">
        <f>M13-R13</f>
        <v>0</v>
      </c>
      <c r="T13" s="50">
        <v>0</v>
      </c>
      <c r="U13" s="50">
        <f>T13-V13</f>
        <v>0</v>
      </c>
      <c r="V13" s="50">
        <v>0</v>
      </c>
      <c r="W13" s="50">
        <f t="shared" si="2"/>
        <v>0</v>
      </c>
      <c r="X13" s="50">
        <f t="shared" si="3"/>
        <v>0</v>
      </c>
      <c r="Y13" s="51">
        <f t="shared" si="4"/>
        <v>0</v>
      </c>
      <c r="Z13" s="51">
        <f t="shared" si="5"/>
        <v>0</v>
      </c>
      <c r="AA13" s="51">
        <f t="shared" si="6"/>
        <v>0</v>
      </c>
      <c r="AB13" s="52" t="str">
        <f>IF(OR(S13="",M13="",M13=0),"",S13/M13)</f>
        <v/>
      </c>
      <c r="AC13" s="52" t="str">
        <f>IF(OR(Y13="",S13="",S13=0),"",Y13/S13)</f>
        <v/>
      </c>
      <c r="AD13" s="52" t="str">
        <f>IF(OR(AA13="",Y13="",Y13=0),"",AA13/Y13)</f>
        <v/>
      </c>
      <c r="AE13" s="53">
        <f t="shared" si="7"/>
        <v>0</v>
      </c>
      <c r="AF13" s="14">
        <f t="shared" si="8"/>
        <v>0</v>
      </c>
      <c r="AG13" s="15" t="s">
        <v>53</v>
      </c>
    </row>
    <row r="14" spans="1:33" x14ac:dyDescent="0.3">
      <c r="A14" s="47">
        <v>46033</v>
      </c>
      <c r="B14" s="48"/>
      <c r="C14" s="48"/>
      <c r="D14" s="49">
        <v>1440</v>
      </c>
      <c r="E14" s="49">
        <v>0</v>
      </c>
      <c r="F14" s="49">
        <f>D14-E14</f>
        <v>1440</v>
      </c>
      <c r="G14" s="49">
        <v>1020</v>
      </c>
      <c r="H14" s="49"/>
      <c r="I14" s="49"/>
      <c r="J14" s="49"/>
      <c r="K14" s="49"/>
      <c r="L14" s="49">
        <f t="shared" si="0"/>
        <v>0</v>
      </c>
      <c r="M14" s="49">
        <f>E14-L14</f>
        <v>0</v>
      </c>
      <c r="N14" s="49"/>
      <c r="O14" s="49"/>
      <c r="P14" s="49"/>
      <c r="Q14" s="49"/>
      <c r="R14" s="49">
        <f t="shared" si="1"/>
        <v>0</v>
      </c>
      <c r="S14" s="49">
        <f>M14-R14</f>
        <v>0</v>
      </c>
      <c r="T14" s="50">
        <v>0</v>
      </c>
      <c r="U14" s="50">
        <f>T14-V14</f>
        <v>0</v>
      </c>
      <c r="V14" s="50">
        <v>0</v>
      </c>
      <c r="W14" s="50">
        <f t="shared" si="2"/>
        <v>0</v>
      </c>
      <c r="X14" s="50">
        <f t="shared" si="3"/>
        <v>0</v>
      </c>
      <c r="Y14" s="51">
        <f t="shared" si="4"/>
        <v>0</v>
      </c>
      <c r="Z14" s="51">
        <f t="shared" si="5"/>
        <v>0</v>
      </c>
      <c r="AA14" s="51">
        <f t="shared" si="6"/>
        <v>0</v>
      </c>
      <c r="AB14" s="52" t="str">
        <f>IF(OR(S14="",M14="",M14=0),"",S14/M14)</f>
        <v/>
      </c>
      <c r="AC14" s="52" t="str">
        <f>IF(OR(Y14="",S14="",S14=0),"",Y14/S14)</f>
        <v/>
      </c>
      <c r="AD14" s="52" t="str">
        <f>IF(OR(AA14="",Y14="",Y14=0),"",AA14/Y14)</f>
        <v/>
      </c>
      <c r="AE14" s="53">
        <f t="shared" si="7"/>
        <v>0</v>
      </c>
      <c r="AF14" s="14">
        <f t="shared" si="8"/>
        <v>0</v>
      </c>
      <c r="AG14" s="15"/>
    </row>
    <row r="15" spans="1:33" ht="57.6" x14ac:dyDescent="0.3">
      <c r="A15" s="54">
        <v>46034</v>
      </c>
      <c r="B15" s="55" t="s">
        <v>55</v>
      </c>
      <c r="C15" s="55">
        <v>26003</v>
      </c>
      <c r="D15" s="56">
        <v>1440</v>
      </c>
      <c r="E15" s="56">
        <v>540</v>
      </c>
      <c r="F15" s="57">
        <f>D15-E15</f>
        <v>900</v>
      </c>
      <c r="G15" s="49">
        <v>1020</v>
      </c>
      <c r="H15" s="57">
        <v>60</v>
      </c>
      <c r="I15" s="57">
        <v>0</v>
      </c>
      <c r="J15" s="57">
        <v>110</v>
      </c>
      <c r="K15" s="57">
        <v>0</v>
      </c>
      <c r="L15" s="57">
        <f t="shared" si="0"/>
        <v>170</v>
      </c>
      <c r="M15" s="56">
        <f>E15-L15</f>
        <v>370</v>
      </c>
      <c r="N15" s="56">
        <v>0</v>
      </c>
      <c r="O15" s="56">
        <v>275</v>
      </c>
      <c r="P15" s="56">
        <v>0</v>
      </c>
      <c r="Q15" s="56">
        <v>0</v>
      </c>
      <c r="R15" s="56">
        <f t="shared" si="1"/>
        <v>275</v>
      </c>
      <c r="S15" s="56">
        <f>M15-R15</f>
        <v>95</v>
      </c>
      <c r="T15" s="58">
        <v>94146</v>
      </c>
      <c r="U15" s="58">
        <f>T15-V15</f>
        <v>92292</v>
      </c>
      <c r="V15" s="59">
        <v>1854</v>
      </c>
      <c r="W15" s="50">
        <f t="shared" si="2"/>
        <v>92.3</v>
      </c>
      <c r="X15" s="50">
        <f t="shared" si="3"/>
        <v>2.7000000000000028</v>
      </c>
      <c r="Y15" s="51">
        <f t="shared" si="4"/>
        <v>92.3</v>
      </c>
      <c r="Z15" s="51">
        <f t="shared" si="5"/>
        <v>1.8176470588235294</v>
      </c>
      <c r="AA15" s="51">
        <f t="shared" si="6"/>
        <v>90.482352941176472</v>
      </c>
      <c r="AB15" s="60">
        <f>IF(OR(S15="",M15="",M15=0),"",S15/M15)</f>
        <v>0.25675675675675674</v>
      </c>
      <c r="AC15" s="60">
        <f>IF(OR(Y15="",S15="",S15=0),"",Y15/S15)</f>
        <v>0.97157894736842099</v>
      </c>
      <c r="AD15" s="60">
        <f>IF(OR(AA15="",Y15="",Y15=0),"",AA15/Y15)</f>
        <v>0.98030718246128357</v>
      </c>
      <c r="AE15" s="53">
        <f t="shared" si="7"/>
        <v>0.24454689984101749</v>
      </c>
      <c r="AF15" s="22">
        <f t="shared" si="8"/>
        <v>0.16755991285403052</v>
      </c>
      <c r="AG15" s="23" t="s">
        <v>58</v>
      </c>
    </row>
    <row r="16" spans="1:33" ht="100.8" x14ac:dyDescent="0.3">
      <c r="A16" s="54">
        <v>46035</v>
      </c>
      <c r="B16" s="55" t="s">
        <v>55</v>
      </c>
      <c r="C16" s="55">
        <v>26003</v>
      </c>
      <c r="D16" s="56">
        <v>1440</v>
      </c>
      <c r="E16" s="56">
        <v>540</v>
      </c>
      <c r="F16" s="57">
        <f>D16-E16</f>
        <v>900</v>
      </c>
      <c r="G16" s="49">
        <v>1020</v>
      </c>
      <c r="H16" s="57">
        <v>0</v>
      </c>
      <c r="I16" s="57">
        <v>0</v>
      </c>
      <c r="J16" s="57">
        <v>210</v>
      </c>
      <c r="K16" s="57">
        <v>0</v>
      </c>
      <c r="L16" s="57">
        <f t="shared" si="0"/>
        <v>210</v>
      </c>
      <c r="M16" s="56">
        <f>E16-L16</f>
        <v>330</v>
      </c>
      <c r="N16" s="56">
        <v>74</v>
      </c>
      <c r="O16" s="56">
        <v>0</v>
      </c>
      <c r="P16" s="56">
        <v>0</v>
      </c>
      <c r="Q16" s="56">
        <v>0</v>
      </c>
      <c r="R16" s="56">
        <f t="shared" si="1"/>
        <v>74</v>
      </c>
      <c r="S16" s="56">
        <f>M16-R16</f>
        <v>256</v>
      </c>
      <c r="T16" s="58">
        <v>258523</v>
      </c>
      <c r="U16" s="58">
        <f>T16-V16</f>
        <v>253046</v>
      </c>
      <c r="V16" s="59">
        <v>5477</v>
      </c>
      <c r="W16" s="50">
        <f t="shared" si="2"/>
        <v>253.45392156862746</v>
      </c>
      <c r="X16" s="50">
        <f t="shared" si="3"/>
        <v>2.5460784313725355</v>
      </c>
      <c r="Y16" s="51">
        <f t="shared" si="4"/>
        <v>253.45392156862746</v>
      </c>
      <c r="Z16" s="51">
        <f t="shared" si="5"/>
        <v>5.3696078431372545</v>
      </c>
      <c r="AA16" s="51">
        <f t="shared" si="6"/>
        <v>248.0843137254902</v>
      </c>
      <c r="AB16" s="60">
        <f>IF(OR(S16="",M16="",M16=0),"",S16/M16)</f>
        <v>0.77575757575757576</v>
      </c>
      <c r="AC16" s="60">
        <f>IF(OR(Y16="",S16="",S16=0),"",Y16/S16)</f>
        <v>0.99005438112745103</v>
      </c>
      <c r="AD16" s="60">
        <f>IF(OR(AA16="",Y16="",Y16=0),"",AA16/Y16)</f>
        <v>0.97881426410802908</v>
      </c>
      <c r="AE16" s="53">
        <f t="shared" si="7"/>
        <v>0.75177064765300061</v>
      </c>
      <c r="AF16" s="22">
        <f t="shared" si="8"/>
        <v>0.45941539578794482</v>
      </c>
      <c r="AG16" s="23" t="s">
        <v>59</v>
      </c>
    </row>
    <row r="17" spans="1:33" ht="100.8" x14ac:dyDescent="0.3">
      <c r="A17" s="54">
        <v>46036</v>
      </c>
      <c r="B17" s="55" t="s">
        <v>55</v>
      </c>
      <c r="C17" s="55">
        <v>26004</v>
      </c>
      <c r="D17" s="56">
        <v>1440</v>
      </c>
      <c r="E17" s="56">
        <v>540</v>
      </c>
      <c r="F17" s="57">
        <f>D17-E17</f>
        <v>900</v>
      </c>
      <c r="G17" s="49">
        <v>1020</v>
      </c>
      <c r="H17" s="57">
        <v>0</v>
      </c>
      <c r="I17" s="57">
        <v>0</v>
      </c>
      <c r="J17" s="57">
        <v>165</v>
      </c>
      <c r="K17" s="57">
        <v>0</v>
      </c>
      <c r="L17" s="57">
        <f t="shared" si="0"/>
        <v>165</v>
      </c>
      <c r="M17" s="56">
        <f>E17-L17</f>
        <v>375</v>
      </c>
      <c r="N17" s="56">
        <v>31</v>
      </c>
      <c r="O17" s="56">
        <v>0</v>
      </c>
      <c r="P17" s="56">
        <v>0</v>
      </c>
      <c r="Q17" s="56">
        <v>0</v>
      </c>
      <c r="R17" s="56">
        <f t="shared" si="1"/>
        <v>31</v>
      </c>
      <c r="S17" s="56">
        <f>M17-R17</f>
        <v>344</v>
      </c>
      <c r="T17" s="58">
        <v>348453</v>
      </c>
      <c r="U17" s="58">
        <f>T17-V17</f>
        <v>336906</v>
      </c>
      <c r="V17" s="59">
        <v>11547</v>
      </c>
      <c r="W17" s="50">
        <f t="shared" si="2"/>
        <v>341.62058823529412</v>
      </c>
      <c r="X17" s="50">
        <f t="shared" si="3"/>
        <v>2.3794117647058783</v>
      </c>
      <c r="Y17" s="51">
        <f t="shared" si="4"/>
        <v>341.62058823529412</v>
      </c>
      <c r="Z17" s="51">
        <f t="shared" si="5"/>
        <v>11.320588235294117</v>
      </c>
      <c r="AA17" s="51">
        <f t="shared" si="6"/>
        <v>330.3</v>
      </c>
      <c r="AB17" s="60">
        <f>IF(OR(S17="",M17="",M17=0),"",S17/M17)</f>
        <v>0.91733333333333333</v>
      </c>
      <c r="AC17" s="60">
        <f>IF(OR(Y17="",S17="",S17=0),"",Y17/S17)</f>
        <v>0.99308310533515731</v>
      </c>
      <c r="AD17" s="60">
        <f>IF(OR(AA17="",Y17="",Y17=0),"",AA17/Y17)</f>
        <v>0.96686210191905364</v>
      </c>
      <c r="AE17" s="53">
        <f t="shared" si="7"/>
        <v>0.88080000000000003</v>
      </c>
      <c r="AF17" s="22">
        <f t="shared" si="8"/>
        <v>0.61166666666666669</v>
      </c>
      <c r="AG17" s="23" t="s">
        <v>60</v>
      </c>
    </row>
    <row r="18" spans="1:33" ht="28.8" x14ac:dyDescent="0.3">
      <c r="A18" s="54">
        <v>46037</v>
      </c>
      <c r="B18" s="55"/>
      <c r="C18" s="55"/>
      <c r="D18" s="56">
        <v>1440</v>
      </c>
      <c r="E18" s="56">
        <v>540</v>
      </c>
      <c r="F18" s="57">
        <f>D18-E18</f>
        <v>900</v>
      </c>
      <c r="G18" s="49">
        <v>1020</v>
      </c>
      <c r="H18" s="57">
        <v>60</v>
      </c>
      <c r="I18" s="57">
        <v>120</v>
      </c>
      <c r="J18" s="57">
        <v>360</v>
      </c>
      <c r="K18" s="57"/>
      <c r="L18" s="57">
        <f t="shared" si="0"/>
        <v>540</v>
      </c>
      <c r="M18" s="56">
        <f>E18-L18</f>
        <v>0</v>
      </c>
      <c r="N18" s="56"/>
      <c r="O18" s="56"/>
      <c r="P18" s="56"/>
      <c r="Q18" s="56"/>
      <c r="R18" s="56">
        <f t="shared" si="1"/>
        <v>0</v>
      </c>
      <c r="S18" s="56">
        <f>M18-R18</f>
        <v>0</v>
      </c>
      <c r="T18" s="58">
        <v>0</v>
      </c>
      <c r="U18" s="58">
        <f>T18-V18</f>
        <v>0</v>
      </c>
      <c r="V18" s="59">
        <v>0</v>
      </c>
      <c r="W18" s="50">
        <f t="shared" si="2"/>
        <v>0</v>
      </c>
      <c r="X18" s="50">
        <f t="shared" si="3"/>
        <v>0</v>
      </c>
      <c r="Y18" s="51">
        <f t="shared" si="4"/>
        <v>0</v>
      </c>
      <c r="Z18" s="51">
        <f t="shared" si="5"/>
        <v>0</v>
      </c>
      <c r="AA18" s="51">
        <f t="shared" si="6"/>
        <v>0</v>
      </c>
      <c r="AB18" s="60" t="str">
        <f>IF(OR(S18="",M18="",M18=0),"",S18/M18)</f>
        <v/>
      </c>
      <c r="AC18" s="60" t="str">
        <f>IF(OR(Y18="",S18="",S18=0),"",Y18/S18)</f>
        <v/>
      </c>
      <c r="AD18" s="60" t="str">
        <f>IF(OR(AA18="",Y18="",Y18=0),"",AA18/Y18)</f>
        <v/>
      </c>
      <c r="AE18" s="53">
        <f t="shared" si="7"/>
        <v>0</v>
      </c>
      <c r="AF18" s="22">
        <f t="shared" si="8"/>
        <v>0</v>
      </c>
      <c r="AG18" s="23" t="s">
        <v>61</v>
      </c>
    </row>
    <row r="19" spans="1:33" ht="100.8" x14ac:dyDescent="0.3">
      <c r="A19" s="54">
        <v>46038</v>
      </c>
      <c r="B19" s="55" t="s">
        <v>62</v>
      </c>
      <c r="C19" s="55">
        <v>26001</v>
      </c>
      <c r="D19" s="56">
        <v>1440</v>
      </c>
      <c r="E19" s="56">
        <v>540</v>
      </c>
      <c r="F19" s="57">
        <f>D19-E19</f>
        <v>900</v>
      </c>
      <c r="G19" s="49">
        <v>1020</v>
      </c>
      <c r="H19" s="57">
        <v>0</v>
      </c>
      <c r="I19" s="57">
        <v>0</v>
      </c>
      <c r="J19" s="57">
        <v>170</v>
      </c>
      <c r="K19" s="57">
        <v>0</v>
      </c>
      <c r="L19" s="57">
        <f t="shared" si="0"/>
        <v>170</v>
      </c>
      <c r="M19" s="56">
        <f>E19-L19</f>
        <v>370</v>
      </c>
      <c r="N19" s="56">
        <v>21</v>
      </c>
      <c r="O19" s="56">
        <v>0</v>
      </c>
      <c r="P19" s="56">
        <v>0</v>
      </c>
      <c r="Q19" s="56">
        <v>0</v>
      </c>
      <c r="R19" s="56">
        <f t="shared" si="1"/>
        <v>21</v>
      </c>
      <c r="S19" s="56">
        <f>M19-R19</f>
        <v>349</v>
      </c>
      <c r="T19" s="58">
        <v>352982</v>
      </c>
      <c r="U19" s="58">
        <f>T19-V19</f>
        <v>345964</v>
      </c>
      <c r="V19" s="59">
        <v>7018</v>
      </c>
      <c r="W19" s="50">
        <f t="shared" si="2"/>
        <v>346.06078431372549</v>
      </c>
      <c r="X19" s="50">
        <f t="shared" si="3"/>
        <v>2.9392156862745082</v>
      </c>
      <c r="Y19" s="51">
        <f t="shared" si="4"/>
        <v>346.06078431372549</v>
      </c>
      <c r="Z19" s="51">
        <f t="shared" si="5"/>
        <v>6.8803921568627455</v>
      </c>
      <c r="AA19" s="51">
        <f t="shared" si="6"/>
        <v>339.18039215686275</v>
      </c>
      <c r="AB19" s="60">
        <f>IF(OR(S19="",M19="",M19=0),"",S19/M19)</f>
        <v>0.94324324324324327</v>
      </c>
      <c r="AC19" s="60">
        <f>IF(OR(Y19="",S19="",S19=0),"",Y19/S19)</f>
        <v>0.9915781785493567</v>
      </c>
      <c r="AD19" s="60">
        <f>IF(OR(AA19="",Y19="",Y19=0),"",AA19/Y19)</f>
        <v>0.98011796635522497</v>
      </c>
      <c r="AE19" s="53">
        <f t="shared" si="7"/>
        <v>0.91670376258611552</v>
      </c>
      <c r="AF19" s="22">
        <f t="shared" si="8"/>
        <v>0.62811183732752363</v>
      </c>
      <c r="AG19" s="23" t="s">
        <v>63</v>
      </c>
    </row>
    <row r="20" spans="1:33" x14ac:dyDescent="0.3">
      <c r="A20" s="47">
        <v>46039</v>
      </c>
      <c r="B20" s="48"/>
      <c r="C20" s="48"/>
      <c r="D20" s="49">
        <v>1440</v>
      </c>
      <c r="E20" s="49">
        <v>0</v>
      </c>
      <c r="F20" s="49">
        <f>D20-E20</f>
        <v>1440</v>
      </c>
      <c r="G20" s="49">
        <v>1020</v>
      </c>
      <c r="H20" s="49"/>
      <c r="I20" s="49"/>
      <c r="J20" s="49"/>
      <c r="K20" s="49"/>
      <c r="L20" s="49">
        <f t="shared" si="0"/>
        <v>0</v>
      </c>
      <c r="M20" s="49">
        <f>E20-L20</f>
        <v>0</v>
      </c>
      <c r="N20" s="49"/>
      <c r="O20" s="49"/>
      <c r="P20" s="49"/>
      <c r="Q20" s="49"/>
      <c r="R20" s="49">
        <f t="shared" si="1"/>
        <v>0</v>
      </c>
      <c r="S20" s="49">
        <f>M20-R20</f>
        <v>0</v>
      </c>
      <c r="T20" s="50">
        <v>0</v>
      </c>
      <c r="U20" s="50">
        <f>T20-V20</f>
        <v>0</v>
      </c>
      <c r="V20" s="50">
        <v>0</v>
      </c>
      <c r="W20" s="50">
        <f t="shared" si="2"/>
        <v>0</v>
      </c>
      <c r="X20" s="50">
        <f t="shared" si="3"/>
        <v>0</v>
      </c>
      <c r="Y20" s="51">
        <f t="shared" si="4"/>
        <v>0</v>
      </c>
      <c r="Z20" s="51">
        <f t="shared" si="5"/>
        <v>0</v>
      </c>
      <c r="AA20" s="51">
        <f t="shared" si="6"/>
        <v>0</v>
      </c>
      <c r="AB20" s="52" t="str">
        <f>IF(OR(S20="",M20="",M20=0),"",S20/M20)</f>
        <v/>
      </c>
      <c r="AC20" s="52" t="str">
        <f>IF(OR(Y20="",S20="",S20=0),"",Y20/S20)</f>
        <v/>
      </c>
      <c r="AD20" s="52" t="str">
        <f>IF(OR(AA20="",Y20="",Y20=0),"",AA20/Y20)</f>
        <v/>
      </c>
      <c r="AE20" s="53">
        <f t="shared" si="7"/>
        <v>0</v>
      </c>
      <c r="AF20" s="14">
        <f t="shared" si="8"/>
        <v>0</v>
      </c>
      <c r="AG20" s="15" t="s">
        <v>53</v>
      </c>
    </row>
    <row r="21" spans="1:33" x14ac:dyDescent="0.3">
      <c r="A21" s="47">
        <v>46040</v>
      </c>
      <c r="B21" s="48"/>
      <c r="C21" s="48"/>
      <c r="D21" s="49">
        <v>1440</v>
      </c>
      <c r="E21" s="49">
        <v>0</v>
      </c>
      <c r="F21" s="49">
        <f>D21-E21</f>
        <v>1440</v>
      </c>
      <c r="G21" s="49">
        <v>1020</v>
      </c>
      <c r="H21" s="49"/>
      <c r="I21" s="49"/>
      <c r="J21" s="49"/>
      <c r="K21" s="49"/>
      <c r="L21" s="49">
        <f t="shared" si="0"/>
        <v>0</v>
      </c>
      <c r="M21" s="49">
        <f>E21-L21</f>
        <v>0</v>
      </c>
      <c r="N21" s="49"/>
      <c r="O21" s="49"/>
      <c r="P21" s="49"/>
      <c r="Q21" s="49"/>
      <c r="R21" s="49">
        <f t="shared" si="1"/>
        <v>0</v>
      </c>
      <c r="S21" s="49">
        <f>M21-R21</f>
        <v>0</v>
      </c>
      <c r="T21" s="50">
        <v>0</v>
      </c>
      <c r="U21" s="50">
        <f>T21-V21</f>
        <v>0</v>
      </c>
      <c r="V21" s="50">
        <v>0</v>
      </c>
      <c r="W21" s="50">
        <f t="shared" si="2"/>
        <v>0</v>
      </c>
      <c r="X21" s="50">
        <f t="shared" si="3"/>
        <v>0</v>
      </c>
      <c r="Y21" s="51">
        <f t="shared" si="4"/>
        <v>0</v>
      </c>
      <c r="Z21" s="51">
        <f t="shared" si="5"/>
        <v>0</v>
      </c>
      <c r="AA21" s="51">
        <f t="shared" si="6"/>
        <v>0</v>
      </c>
      <c r="AB21" s="52" t="str">
        <f>IF(OR(S21="",M21="",M21=0),"",S21/M21)</f>
        <v/>
      </c>
      <c r="AC21" s="52" t="str">
        <f>IF(OR(Y21="",S21="",S21=0),"",Y21/S21)</f>
        <v/>
      </c>
      <c r="AD21" s="52" t="str">
        <f>IF(OR(AA21="",Y21="",Y21=0),"",AA21/Y21)</f>
        <v/>
      </c>
      <c r="AE21" s="53">
        <f t="shared" si="7"/>
        <v>0</v>
      </c>
      <c r="AF21" s="14">
        <f t="shared" si="8"/>
        <v>0</v>
      </c>
      <c r="AG21" s="15"/>
    </row>
    <row r="22" spans="1:33" x14ac:dyDescent="0.3">
      <c r="A22" s="54">
        <v>46041</v>
      </c>
      <c r="B22" s="55" t="s">
        <v>64</v>
      </c>
      <c r="C22" s="55">
        <v>26002</v>
      </c>
      <c r="D22" s="56">
        <v>1440</v>
      </c>
      <c r="E22" s="56">
        <v>540</v>
      </c>
      <c r="F22" s="57">
        <f>D22-E22</f>
        <v>900</v>
      </c>
      <c r="G22" s="49">
        <v>1020</v>
      </c>
      <c r="H22" s="57">
        <v>0</v>
      </c>
      <c r="I22" s="57">
        <v>0</v>
      </c>
      <c r="J22" s="57">
        <v>192</v>
      </c>
      <c r="K22" s="57">
        <v>0</v>
      </c>
      <c r="L22" s="57">
        <f t="shared" si="0"/>
        <v>192</v>
      </c>
      <c r="M22" s="56">
        <f>E22-L22</f>
        <v>348</v>
      </c>
      <c r="N22" s="56">
        <v>0</v>
      </c>
      <c r="O22" s="56">
        <v>0</v>
      </c>
      <c r="P22" s="56">
        <v>0</v>
      </c>
      <c r="Q22" s="56">
        <v>0</v>
      </c>
      <c r="R22" s="56">
        <f t="shared" si="1"/>
        <v>0</v>
      </c>
      <c r="S22" s="56">
        <f>M22-R22</f>
        <v>348</v>
      </c>
      <c r="T22" s="58">
        <v>352762</v>
      </c>
      <c r="U22" s="58">
        <f>T22-V22</f>
        <v>345524</v>
      </c>
      <c r="V22" s="59">
        <v>7238</v>
      </c>
      <c r="W22" s="50">
        <f t="shared" si="2"/>
        <v>345.84509803921571</v>
      </c>
      <c r="X22" s="50">
        <f t="shared" si="3"/>
        <v>2.1549019607842865</v>
      </c>
      <c r="Y22" s="51">
        <f t="shared" si="4"/>
        <v>345.84509803921571</v>
      </c>
      <c r="Z22" s="51">
        <f t="shared" si="5"/>
        <v>7.0960784313725487</v>
      </c>
      <c r="AA22" s="51">
        <f t="shared" si="6"/>
        <v>338.74901960784314</v>
      </c>
      <c r="AB22" s="60">
        <f>IF(OR(S22="",M22="",M22=0),"",S22/M22)</f>
        <v>1</v>
      </c>
      <c r="AC22" s="60">
        <f>IF(OR(Y22="",S22="",S22=0),"",Y22/S22)</f>
        <v>0.99380775298625201</v>
      </c>
      <c r="AD22" s="60">
        <f>IF(OR(AA22="",Y22="",Y22=0),"",AA22/Y22)</f>
        <v>0.97948191698652343</v>
      </c>
      <c r="AE22" s="53">
        <f t="shared" si="7"/>
        <v>0.97341672301104354</v>
      </c>
      <c r="AF22" s="22">
        <f t="shared" si="8"/>
        <v>0.62731299927378359</v>
      </c>
      <c r="AG22" s="23" t="s">
        <v>57</v>
      </c>
    </row>
    <row r="23" spans="1:33" ht="100.8" x14ac:dyDescent="0.3">
      <c r="A23" s="54">
        <v>46042</v>
      </c>
      <c r="B23" s="55"/>
      <c r="C23" s="55"/>
      <c r="D23" s="56">
        <v>1440</v>
      </c>
      <c r="E23" s="56">
        <v>540</v>
      </c>
      <c r="F23" s="57">
        <f>D23-E23</f>
        <v>900</v>
      </c>
      <c r="G23" s="49">
        <v>1020</v>
      </c>
      <c r="H23" s="57">
        <v>60</v>
      </c>
      <c r="I23" s="57"/>
      <c r="J23" s="57"/>
      <c r="K23" s="57">
        <v>120</v>
      </c>
      <c r="L23" s="57">
        <f t="shared" si="0"/>
        <v>180</v>
      </c>
      <c r="M23" s="56">
        <f>E23-L23</f>
        <v>360</v>
      </c>
      <c r="N23" s="56"/>
      <c r="O23" s="56">
        <v>360</v>
      </c>
      <c r="P23" s="56"/>
      <c r="Q23" s="56"/>
      <c r="R23" s="56">
        <f t="shared" si="1"/>
        <v>360</v>
      </c>
      <c r="S23" s="56">
        <f>M23-R23</f>
        <v>0</v>
      </c>
      <c r="T23" s="58">
        <v>0</v>
      </c>
      <c r="U23" s="58">
        <f>T23-V23</f>
        <v>0</v>
      </c>
      <c r="V23" s="59">
        <v>0</v>
      </c>
      <c r="W23" s="50">
        <f t="shared" si="2"/>
        <v>0</v>
      </c>
      <c r="X23" s="50">
        <f t="shared" si="3"/>
        <v>0</v>
      </c>
      <c r="Y23" s="51">
        <f t="shared" si="4"/>
        <v>0</v>
      </c>
      <c r="Z23" s="51">
        <f t="shared" si="5"/>
        <v>0</v>
      </c>
      <c r="AA23" s="51">
        <f t="shared" si="6"/>
        <v>0</v>
      </c>
      <c r="AB23" s="60">
        <f>IF(OR(S23="",M23="",M23=0),"",S23/M23)</f>
        <v>0</v>
      </c>
      <c r="AC23" s="60" t="str">
        <f>IF(OR(Y23="",S23="",S23=0),"",Y23/S23)</f>
        <v/>
      </c>
      <c r="AD23" s="60" t="str">
        <f>IF(OR(AA23="",Y23="",Y23=0),"",AA23/Y23)</f>
        <v/>
      </c>
      <c r="AE23" s="53">
        <f t="shared" si="7"/>
        <v>0</v>
      </c>
      <c r="AF23" s="22">
        <f t="shared" si="8"/>
        <v>0</v>
      </c>
      <c r="AG23" s="23" t="s">
        <v>65</v>
      </c>
    </row>
    <row r="24" spans="1:33" x14ac:dyDescent="0.3">
      <c r="A24" s="54">
        <v>46043</v>
      </c>
      <c r="B24" s="55" t="s">
        <v>64</v>
      </c>
      <c r="C24" s="55">
        <v>26003</v>
      </c>
      <c r="D24" s="56">
        <v>1440</v>
      </c>
      <c r="E24" s="56">
        <v>540</v>
      </c>
      <c r="F24" s="57">
        <f>D24-E24</f>
        <v>900</v>
      </c>
      <c r="G24" s="49">
        <v>1020</v>
      </c>
      <c r="H24" s="57">
        <v>0</v>
      </c>
      <c r="I24" s="57">
        <v>0</v>
      </c>
      <c r="J24" s="57">
        <v>193</v>
      </c>
      <c r="K24" s="57">
        <v>0</v>
      </c>
      <c r="L24" s="57">
        <f t="shared" si="0"/>
        <v>193</v>
      </c>
      <c r="M24" s="56">
        <f>E24-L24</f>
        <v>347</v>
      </c>
      <c r="N24" s="56">
        <v>0</v>
      </c>
      <c r="O24" s="56">
        <v>0</v>
      </c>
      <c r="P24" s="56">
        <v>0</v>
      </c>
      <c r="Q24" s="56">
        <v>0</v>
      </c>
      <c r="R24" s="56">
        <f t="shared" si="1"/>
        <v>0</v>
      </c>
      <c r="S24" s="56">
        <f>M24-R24</f>
        <v>347</v>
      </c>
      <c r="T24" s="58">
        <v>352823</v>
      </c>
      <c r="U24" s="58">
        <f>T24-V24</f>
        <v>345646</v>
      </c>
      <c r="V24" s="59">
        <v>7177</v>
      </c>
      <c r="W24" s="50">
        <f t="shared" si="2"/>
        <v>345.90490196078429</v>
      </c>
      <c r="X24" s="50">
        <f t="shared" si="3"/>
        <v>1.0950980392157135</v>
      </c>
      <c r="Y24" s="51">
        <f t="shared" si="4"/>
        <v>345.90490196078429</v>
      </c>
      <c r="Z24" s="51">
        <f t="shared" si="5"/>
        <v>7.0362745098039214</v>
      </c>
      <c r="AA24" s="51">
        <f t="shared" si="6"/>
        <v>338.86862745098034</v>
      </c>
      <c r="AB24" s="60">
        <f>IF(OR(S24="",M24="",M24=0),"",S24/M24)</f>
        <v>1</v>
      </c>
      <c r="AC24" s="60">
        <f>IF(OR(Y24="",S24="",S24=0),"",Y24/S24)</f>
        <v>0.9968440978696953</v>
      </c>
      <c r="AD24" s="60">
        <f>IF(OR(AA24="",Y24="",Y24=0),"",AA24/Y24)</f>
        <v>0.97965835560606873</v>
      </c>
      <c r="AE24" s="53">
        <f t="shared" si="7"/>
        <v>0.9765666497146408</v>
      </c>
      <c r="AF24" s="22">
        <f t="shared" si="8"/>
        <v>0.62753449527959326</v>
      </c>
      <c r="AG24" s="23" t="s">
        <v>57</v>
      </c>
    </row>
    <row r="25" spans="1:33" ht="86.4" x14ac:dyDescent="0.3">
      <c r="A25" s="54">
        <v>46044</v>
      </c>
      <c r="B25" s="55"/>
      <c r="C25" s="55"/>
      <c r="D25" s="56">
        <v>1440</v>
      </c>
      <c r="E25" s="56">
        <v>540</v>
      </c>
      <c r="F25" s="57">
        <f>D25-E25</f>
        <v>900</v>
      </c>
      <c r="G25" s="49">
        <v>1020</v>
      </c>
      <c r="H25" s="57">
        <v>60</v>
      </c>
      <c r="I25" s="57"/>
      <c r="J25" s="57"/>
      <c r="K25" s="57">
        <v>480</v>
      </c>
      <c r="L25" s="57">
        <f t="shared" si="0"/>
        <v>540</v>
      </c>
      <c r="M25" s="56">
        <f>E25-L25</f>
        <v>0</v>
      </c>
      <c r="N25" s="56"/>
      <c r="O25" s="56"/>
      <c r="P25" s="56"/>
      <c r="Q25" s="56"/>
      <c r="R25" s="56">
        <f t="shared" si="1"/>
        <v>0</v>
      </c>
      <c r="S25" s="56">
        <f>M25-R25</f>
        <v>0</v>
      </c>
      <c r="T25" s="58">
        <v>0</v>
      </c>
      <c r="U25" s="58">
        <f>T25-V25</f>
        <v>0</v>
      </c>
      <c r="V25" s="59">
        <v>0</v>
      </c>
      <c r="W25" s="50">
        <f t="shared" si="2"/>
        <v>0</v>
      </c>
      <c r="X25" s="50">
        <f t="shared" si="3"/>
        <v>0</v>
      </c>
      <c r="Y25" s="51">
        <f t="shared" si="4"/>
        <v>0</v>
      </c>
      <c r="Z25" s="51">
        <f t="shared" si="5"/>
        <v>0</v>
      </c>
      <c r="AA25" s="51">
        <f t="shared" si="6"/>
        <v>0</v>
      </c>
      <c r="AB25" s="60" t="str">
        <f>IF(OR(S25="",M25="",M25=0),"",S25/M25)</f>
        <v/>
      </c>
      <c r="AC25" s="60" t="str">
        <f>IF(OR(Y25="",S25="",S25=0),"",Y25/S25)</f>
        <v/>
      </c>
      <c r="AD25" s="60" t="str">
        <f>IF(OR(AA25="",Y25="",Y25=0),"",AA25/Y25)</f>
        <v/>
      </c>
      <c r="AE25" s="53">
        <f t="shared" si="7"/>
        <v>0</v>
      </c>
      <c r="AF25" s="22">
        <f t="shared" si="8"/>
        <v>0</v>
      </c>
      <c r="AG25" s="23" t="s">
        <v>66</v>
      </c>
    </row>
    <row r="26" spans="1:33" ht="144" x14ac:dyDescent="0.3">
      <c r="A26" s="54">
        <v>46045</v>
      </c>
      <c r="B26" s="55"/>
      <c r="C26" s="55"/>
      <c r="D26" s="56">
        <v>1440</v>
      </c>
      <c r="E26" s="56">
        <v>540</v>
      </c>
      <c r="F26" s="57">
        <f>D26-E26</f>
        <v>900</v>
      </c>
      <c r="G26" s="49">
        <v>1020</v>
      </c>
      <c r="H26" s="57">
        <v>60</v>
      </c>
      <c r="I26" s="57"/>
      <c r="J26" s="57"/>
      <c r="K26" s="57"/>
      <c r="L26" s="57">
        <f t="shared" si="0"/>
        <v>60</v>
      </c>
      <c r="M26" s="56">
        <f>E26-L26</f>
        <v>480</v>
      </c>
      <c r="N26" s="56"/>
      <c r="O26" s="56"/>
      <c r="P26" s="56"/>
      <c r="Q26" s="56">
        <v>480</v>
      </c>
      <c r="R26" s="56">
        <f t="shared" si="1"/>
        <v>480</v>
      </c>
      <c r="S26" s="56">
        <f>M26-R26</f>
        <v>0</v>
      </c>
      <c r="T26" s="58">
        <v>0</v>
      </c>
      <c r="U26" s="58">
        <f>T26-V26</f>
        <v>0</v>
      </c>
      <c r="V26" s="59">
        <v>0</v>
      </c>
      <c r="W26" s="50">
        <f t="shared" si="2"/>
        <v>0</v>
      </c>
      <c r="X26" s="50">
        <f t="shared" si="3"/>
        <v>0</v>
      </c>
      <c r="Y26" s="51">
        <f t="shared" si="4"/>
        <v>0</v>
      </c>
      <c r="Z26" s="51">
        <f t="shared" si="5"/>
        <v>0</v>
      </c>
      <c r="AA26" s="51">
        <f t="shared" si="6"/>
        <v>0</v>
      </c>
      <c r="AB26" s="60">
        <f>IF(OR(S26="",M26="",M26=0),"",S26/M26)</f>
        <v>0</v>
      </c>
      <c r="AC26" s="60" t="str">
        <f>IF(OR(Y26="",S26="",S26=0),"",Y26/S26)</f>
        <v/>
      </c>
      <c r="AD26" s="60" t="str">
        <f>IF(OR(AA26="",Y26="",Y26=0),"",AA26/Y26)</f>
        <v/>
      </c>
      <c r="AE26" s="53">
        <f t="shared" si="7"/>
        <v>0</v>
      </c>
      <c r="AF26" s="22">
        <f t="shared" si="8"/>
        <v>0</v>
      </c>
      <c r="AG26" s="23" t="s">
        <v>67</v>
      </c>
    </row>
    <row r="27" spans="1:33" x14ac:dyDescent="0.3">
      <c r="A27" s="47">
        <v>46046</v>
      </c>
      <c r="B27" s="48"/>
      <c r="C27" s="48"/>
      <c r="D27" s="49">
        <v>1440</v>
      </c>
      <c r="E27" s="49">
        <v>0</v>
      </c>
      <c r="F27" s="49">
        <f>D27-E27</f>
        <v>1440</v>
      </c>
      <c r="G27" s="49">
        <v>1020</v>
      </c>
      <c r="H27" s="49"/>
      <c r="I27" s="49"/>
      <c r="J27" s="49"/>
      <c r="K27" s="49"/>
      <c r="L27" s="49">
        <f t="shared" si="0"/>
        <v>0</v>
      </c>
      <c r="M27" s="49">
        <f>E27-L27</f>
        <v>0</v>
      </c>
      <c r="N27" s="49"/>
      <c r="O27" s="49"/>
      <c r="P27" s="49"/>
      <c r="Q27" s="49"/>
      <c r="R27" s="49">
        <f t="shared" si="1"/>
        <v>0</v>
      </c>
      <c r="S27" s="49">
        <f>M27-R27</f>
        <v>0</v>
      </c>
      <c r="T27" s="50">
        <v>0</v>
      </c>
      <c r="U27" s="50">
        <f>T27-V27</f>
        <v>0</v>
      </c>
      <c r="V27" s="50">
        <v>0</v>
      </c>
      <c r="W27" s="50">
        <f t="shared" si="2"/>
        <v>0</v>
      </c>
      <c r="X27" s="50">
        <f t="shared" si="3"/>
        <v>0</v>
      </c>
      <c r="Y27" s="51">
        <f t="shared" si="4"/>
        <v>0</v>
      </c>
      <c r="Z27" s="51">
        <f t="shared" si="5"/>
        <v>0</v>
      </c>
      <c r="AA27" s="51">
        <f t="shared" si="6"/>
        <v>0</v>
      </c>
      <c r="AB27" s="52" t="str">
        <f>IF(OR(S27="",M27="",M27=0),"",S27/M27)</f>
        <v/>
      </c>
      <c r="AC27" s="52" t="str">
        <f>IF(OR(Y27="",S27="",S27=0),"",Y27/S27)</f>
        <v/>
      </c>
      <c r="AD27" s="52" t="str">
        <f>IF(OR(AA27="",Y27="",Y27=0),"",AA27/Y27)</f>
        <v/>
      </c>
      <c r="AE27" s="53">
        <f t="shared" si="7"/>
        <v>0</v>
      </c>
      <c r="AF27" s="14">
        <f t="shared" si="8"/>
        <v>0</v>
      </c>
      <c r="AG27" s="15" t="s">
        <v>53</v>
      </c>
    </row>
    <row r="28" spans="1:33" x14ac:dyDescent="0.3">
      <c r="A28" s="47">
        <v>46047</v>
      </c>
      <c r="B28" s="48"/>
      <c r="C28" s="48"/>
      <c r="D28" s="49">
        <v>1440</v>
      </c>
      <c r="E28" s="49">
        <v>0</v>
      </c>
      <c r="F28" s="49">
        <f>D28-E28</f>
        <v>1440</v>
      </c>
      <c r="G28" s="49">
        <v>1020</v>
      </c>
      <c r="H28" s="49"/>
      <c r="I28" s="49"/>
      <c r="J28" s="49"/>
      <c r="K28" s="49"/>
      <c r="L28" s="49">
        <f t="shared" si="0"/>
        <v>0</v>
      </c>
      <c r="M28" s="49">
        <f>E28-L28</f>
        <v>0</v>
      </c>
      <c r="N28" s="49"/>
      <c r="O28" s="49"/>
      <c r="P28" s="49"/>
      <c r="Q28" s="49"/>
      <c r="R28" s="49">
        <f t="shared" si="1"/>
        <v>0</v>
      </c>
      <c r="S28" s="49">
        <f>M28-R28</f>
        <v>0</v>
      </c>
      <c r="T28" s="50">
        <v>0</v>
      </c>
      <c r="U28" s="50">
        <f>T28-V28</f>
        <v>0</v>
      </c>
      <c r="V28" s="50">
        <v>0</v>
      </c>
      <c r="W28" s="50">
        <f t="shared" si="2"/>
        <v>0</v>
      </c>
      <c r="X28" s="50">
        <f t="shared" si="3"/>
        <v>0</v>
      </c>
      <c r="Y28" s="51">
        <f t="shared" si="4"/>
        <v>0</v>
      </c>
      <c r="Z28" s="51">
        <f t="shared" si="5"/>
        <v>0</v>
      </c>
      <c r="AA28" s="51">
        <f t="shared" si="6"/>
        <v>0</v>
      </c>
      <c r="AB28" s="52" t="str">
        <f>IF(OR(S28="",M28="",M28=0),"",S28/M28)</f>
        <v/>
      </c>
      <c r="AC28" s="52" t="str">
        <f>IF(OR(Y28="",S28="",S28=0),"",Y28/S28)</f>
        <v/>
      </c>
      <c r="AD28" s="52" t="str">
        <f>IF(OR(AA28="",Y28="",Y28=0),"",AA28/Y28)</f>
        <v/>
      </c>
      <c r="AE28" s="53">
        <f t="shared" si="7"/>
        <v>0</v>
      </c>
      <c r="AF28" s="14">
        <f t="shared" si="8"/>
        <v>0</v>
      </c>
      <c r="AG28" s="15"/>
    </row>
    <row r="29" spans="1:33" ht="144" x14ac:dyDescent="0.3">
      <c r="A29" s="54">
        <v>46048</v>
      </c>
      <c r="B29" s="55"/>
      <c r="C29" s="55"/>
      <c r="D29" s="56">
        <v>1440</v>
      </c>
      <c r="E29" s="56">
        <v>540</v>
      </c>
      <c r="F29" s="57">
        <f>D29-E29</f>
        <v>900</v>
      </c>
      <c r="G29" s="49">
        <v>1020</v>
      </c>
      <c r="H29" s="57">
        <v>60</v>
      </c>
      <c r="I29" s="57"/>
      <c r="J29" s="57"/>
      <c r="K29" s="57"/>
      <c r="L29" s="57">
        <f t="shared" si="0"/>
        <v>60</v>
      </c>
      <c r="M29" s="56">
        <f>E29-L29</f>
        <v>480</v>
      </c>
      <c r="N29" s="56"/>
      <c r="O29" s="56"/>
      <c r="P29" s="56"/>
      <c r="Q29" s="56">
        <v>480</v>
      </c>
      <c r="R29" s="56">
        <f t="shared" si="1"/>
        <v>480</v>
      </c>
      <c r="S29" s="56">
        <f>M29-R29</f>
        <v>0</v>
      </c>
      <c r="T29" s="58">
        <v>0</v>
      </c>
      <c r="U29" s="58">
        <f>T29-V29</f>
        <v>0</v>
      </c>
      <c r="V29" s="59">
        <v>0</v>
      </c>
      <c r="W29" s="50">
        <f t="shared" si="2"/>
        <v>0</v>
      </c>
      <c r="X29" s="50">
        <f t="shared" si="3"/>
        <v>0</v>
      </c>
      <c r="Y29" s="51">
        <f t="shared" si="4"/>
        <v>0</v>
      </c>
      <c r="Z29" s="51">
        <f t="shared" si="5"/>
        <v>0</v>
      </c>
      <c r="AA29" s="51">
        <f t="shared" si="6"/>
        <v>0</v>
      </c>
      <c r="AB29" s="60">
        <f>IF(OR(S29="",M29="",M29=0),"",S29/M29)</f>
        <v>0</v>
      </c>
      <c r="AC29" s="60" t="str">
        <f>IF(OR(Y29="",S29="",S29=0),"",Y29/S29)</f>
        <v/>
      </c>
      <c r="AD29" s="60" t="str">
        <f>IF(OR(AA29="",Y29="",Y29=0),"",AA29/Y29)</f>
        <v/>
      </c>
      <c r="AE29" s="53">
        <f t="shared" si="7"/>
        <v>0</v>
      </c>
      <c r="AF29" s="22">
        <f t="shared" si="8"/>
        <v>0</v>
      </c>
      <c r="AG29" s="23" t="s">
        <v>67</v>
      </c>
    </row>
    <row r="30" spans="1:33" x14ac:dyDescent="0.3">
      <c r="A30" s="54">
        <v>46049</v>
      </c>
      <c r="B30" s="55"/>
      <c r="C30" s="55"/>
      <c r="D30" s="56">
        <v>1440</v>
      </c>
      <c r="E30" s="56">
        <v>540</v>
      </c>
      <c r="F30" s="57">
        <f>D30-E30</f>
        <v>900</v>
      </c>
      <c r="G30" s="49">
        <v>1020</v>
      </c>
      <c r="H30" s="57">
        <v>60</v>
      </c>
      <c r="I30" s="57"/>
      <c r="J30" s="57"/>
      <c r="K30" s="57"/>
      <c r="L30" s="57">
        <f t="shared" si="0"/>
        <v>60</v>
      </c>
      <c r="M30" s="56">
        <f>E30-L30</f>
        <v>480</v>
      </c>
      <c r="N30" s="56"/>
      <c r="O30" s="56"/>
      <c r="P30" s="56"/>
      <c r="Q30" s="56">
        <v>480</v>
      </c>
      <c r="R30" s="56">
        <f t="shared" si="1"/>
        <v>480</v>
      </c>
      <c r="S30" s="56">
        <f>M30-R30</f>
        <v>0</v>
      </c>
      <c r="T30" s="58">
        <v>0</v>
      </c>
      <c r="U30" s="58">
        <f>T30-V30</f>
        <v>0</v>
      </c>
      <c r="V30" s="59">
        <v>0</v>
      </c>
      <c r="W30" s="50">
        <f t="shared" si="2"/>
        <v>0</v>
      </c>
      <c r="X30" s="50">
        <f t="shared" si="3"/>
        <v>0</v>
      </c>
      <c r="Y30" s="51">
        <f t="shared" si="4"/>
        <v>0</v>
      </c>
      <c r="Z30" s="51">
        <f t="shared" si="5"/>
        <v>0</v>
      </c>
      <c r="AA30" s="51">
        <f t="shared" si="6"/>
        <v>0</v>
      </c>
      <c r="AB30" s="60">
        <f>IF(OR(S30="",M30="",M30=0),"",S30/M30)</f>
        <v>0</v>
      </c>
      <c r="AC30" s="60" t="str">
        <f>IF(OR(Y30="",S30="",S30=0),"",Y30/S30)</f>
        <v/>
      </c>
      <c r="AD30" s="60" t="str">
        <f>IF(OR(AA30="",Y30="",Y30=0),"",AA30/Y30)</f>
        <v/>
      </c>
      <c r="AE30" s="53">
        <f t="shared" si="7"/>
        <v>0</v>
      </c>
      <c r="AF30" s="22">
        <f t="shared" si="8"/>
        <v>0</v>
      </c>
      <c r="AG30" s="23"/>
    </row>
    <row r="31" spans="1:33" x14ac:dyDescent="0.3">
      <c r="A31" s="54">
        <v>46050</v>
      </c>
      <c r="B31" s="55"/>
      <c r="C31" s="55"/>
      <c r="D31" s="56">
        <v>1440</v>
      </c>
      <c r="E31" s="56">
        <v>540</v>
      </c>
      <c r="F31" s="57">
        <f>D31-E31</f>
        <v>900</v>
      </c>
      <c r="G31" s="49">
        <v>1020</v>
      </c>
      <c r="H31" s="57">
        <v>60</v>
      </c>
      <c r="I31" s="57">
        <v>47</v>
      </c>
      <c r="J31" s="57">
        <v>433</v>
      </c>
      <c r="K31" s="57"/>
      <c r="L31" s="57">
        <f t="shared" si="0"/>
        <v>540</v>
      </c>
      <c r="M31" s="56">
        <f>E31-L31</f>
        <v>0</v>
      </c>
      <c r="N31" s="56"/>
      <c r="O31" s="56"/>
      <c r="P31" s="56"/>
      <c r="Q31" s="56"/>
      <c r="R31" s="56">
        <f t="shared" si="1"/>
        <v>0</v>
      </c>
      <c r="S31" s="56">
        <f>M31-R31</f>
        <v>0</v>
      </c>
      <c r="T31" s="58">
        <v>0</v>
      </c>
      <c r="U31" s="58">
        <f>T31-V31</f>
        <v>0</v>
      </c>
      <c r="V31" s="59">
        <v>0</v>
      </c>
      <c r="W31" s="50">
        <f t="shared" si="2"/>
        <v>0</v>
      </c>
      <c r="X31" s="50">
        <f t="shared" si="3"/>
        <v>0</v>
      </c>
      <c r="Y31" s="51">
        <f t="shared" si="4"/>
        <v>0</v>
      </c>
      <c r="Z31" s="51">
        <f t="shared" si="5"/>
        <v>0</v>
      </c>
      <c r="AA31" s="51">
        <f t="shared" si="6"/>
        <v>0</v>
      </c>
      <c r="AB31" s="60" t="str">
        <f>IF(OR(S31="",M31="",M31=0),"",S31/M31)</f>
        <v/>
      </c>
      <c r="AC31" s="60" t="str">
        <f>IF(OR(Y31="",S31="",S31=0),"",Y31/S31)</f>
        <v/>
      </c>
      <c r="AD31" s="60" t="str">
        <f>IF(OR(AA31="",Y31="",Y31=0),"",AA31/Y31)</f>
        <v/>
      </c>
      <c r="AE31" s="53">
        <f t="shared" si="7"/>
        <v>0</v>
      </c>
      <c r="AF31" s="22">
        <f t="shared" si="8"/>
        <v>0</v>
      </c>
      <c r="AG31" s="23" t="s">
        <v>68</v>
      </c>
    </row>
    <row r="32" spans="1:33" ht="43.2" x14ac:dyDescent="0.3">
      <c r="A32" s="54">
        <v>46051</v>
      </c>
      <c r="B32" s="55"/>
      <c r="C32" s="55"/>
      <c r="D32" s="56">
        <v>1440</v>
      </c>
      <c r="E32" s="56">
        <v>540</v>
      </c>
      <c r="F32" s="57">
        <f>D32-E32</f>
        <v>900</v>
      </c>
      <c r="G32" s="49">
        <v>1020</v>
      </c>
      <c r="H32" s="57">
        <v>60</v>
      </c>
      <c r="I32" s="57"/>
      <c r="J32" s="57">
        <v>480</v>
      </c>
      <c r="K32" s="57"/>
      <c r="L32" s="57">
        <f t="shared" si="0"/>
        <v>540</v>
      </c>
      <c r="M32" s="56">
        <f>E32-L32</f>
        <v>0</v>
      </c>
      <c r="N32" s="56"/>
      <c r="O32" s="56"/>
      <c r="P32" s="56"/>
      <c r="Q32" s="56"/>
      <c r="R32" s="56">
        <f t="shared" si="1"/>
        <v>0</v>
      </c>
      <c r="S32" s="56">
        <f>M32-R32</f>
        <v>0</v>
      </c>
      <c r="T32" s="58">
        <v>0</v>
      </c>
      <c r="U32" s="58">
        <f>T32-V32</f>
        <v>0</v>
      </c>
      <c r="V32" s="59">
        <v>0</v>
      </c>
      <c r="W32" s="50">
        <f t="shared" si="2"/>
        <v>0</v>
      </c>
      <c r="X32" s="50">
        <f t="shared" si="3"/>
        <v>0</v>
      </c>
      <c r="Y32" s="51">
        <f t="shared" si="4"/>
        <v>0</v>
      </c>
      <c r="Z32" s="51">
        <f t="shared" si="5"/>
        <v>0</v>
      </c>
      <c r="AA32" s="51">
        <f t="shared" si="6"/>
        <v>0</v>
      </c>
      <c r="AB32" s="60" t="str">
        <f>IF(OR(S32="",M32="",M32=0),"",S32/M32)</f>
        <v/>
      </c>
      <c r="AC32" s="60" t="str">
        <f>IF(OR(Y32="",S32="",S32=0),"",Y32/S32)</f>
        <v/>
      </c>
      <c r="AD32" s="60" t="str">
        <f>IF(OR(AA32="",Y32="",Y32=0),"",AA32/Y32)</f>
        <v/>
      </c>
      <c r="AE32" s="53">
        <f t="shared" si="7"/>
        <v>0</v>
      </c>
      <c r="AF32" s="22">
        <f t="shared" si="8"/>
        <v>0</v>
      </c>
      <c r="AG32" s="23" t="s">
        <v>69</v>
      </c>
    </row>
    <row r="33" spans="1:33" x14ac:dyDescent="0.3">
      <c r="A33" s="54">
        <v>46052</v>
      </c>
      <c r="B33" s="55"/>
      <c r="C33" s="55"/>
      <c r="D33" s="56">
        <v>1440</v>
      </c>
      <c r="E33" s="56">
        <v>540</v>
      </c>
      <c r="F33" s="57">
        <f>D33-E33</f>
        <v>900</v>
      </c>
      <c r="G33" s="49">
        <v>1020</v>
      </c>
      <c r="H33" s="57">
        <v>60</v>
      </c>
      <c r="I33" s="57"/>
      <c r="J33" s="57">
        <v>480</v>
      </c>
      <c r="K33" s="57"/>
      <c r="L33" s="57">
        <f t="shared" si="0"/>
        <v>540</v>
      </c>
      <c r="M33" s="56">
        <f>E33-L33</f>
        <v>0</v>
      </c>
      <c r="N33" s="56"/>
      <c r="O33" s="56"/>
      <c r="P33" s="56"/>
      <c r="Q33" s="56"/>
      <c r="R33" s="56">
        <f t="shared" si="1"/>
        <v>0</v>
      </c>
      <c r="S33" s="56">
        <f>M33-R33</f>
        <v>0</v>
      </c>
      <c r="T33" s="58">
        <v>0</v>
      </c>
      <c r="U33" s="58">
        <f>T33-V33</f>
        <v>0</v>
      </c>
      <c r="V33" s="59">
        <v>0</v>
      </c>
      <c r="W33" s="50">
        <f t="shared" si="2"/>
        <v>0</v>
      </c>
      <c r="X33" s="50">
        <f t="shared" si="3"/>
        <v>0</v>
      </c>
      <c r="Y33" s="51">
        <f t="shared" si="4"/>
        <v>0</v>
      </c>
      <c r="Z33" s="51">
        <f t="shared" si="5"/>
        <v>0</v>
      </c>
      <c r="AA33" s="51">
        <f t="shared" si="6"/>
        <v>0</v>
      </c>
      <c r="AB33" s="60" t="str">
        <f>IF(OR(S33="",M33="",M33=0),"",S33/M33)</f>
        <v/>
      </c>
      <c r="AC33" s="60" t="str">
        <f>IF(OR(Y33="",S33="",S33=0),"",Y33/S33)</f>
        <v/>
      </c>
      <c r="AD33" s="60" t="str">
        <f>IF(OR(AA33="",Y33="",Y33=0),"",AA33/Y33)</f>
        <v/>
      </c>
      <c r="AE33" s="53">
        <f t="shared" si="7"/>
        <v>0</v>
      </c>
      <c r="AF33" s="22">
        <f t="shared" si="8"/>
        <v>0</v>
      </c>
      <c r="AG33" s="23"/>
    </row>
    <row r="34" spans="1:33" x14ac:dyDescent="0.3">
      <c r="A34" s="47">
        <v>46053</v>
      </c>
      <c r="B34" s="48" t="s">
        <v>64</v>
      </c>
      <c r="C34" s="48">
        <v>26004</v>
      </c>
      <c r="D34" s="49">
        <v>1440</v>
      </c>
      <c r="E34" s="49">
        <v>540</v>
      </c>
      <c r="F34" s="49">
        <f>D34-E34</f>
        <v>900</v>
      </c>
      <c r="G34" s="49">
        <v>1020</v>
      </c>
      <c r="H34" s="49">
        <v>0</v>
      </c>
      <c r="I34" s="49">
        <v>60</v>
      </c>
      <c r="J34" s="49">
        <v>242</v>
      </c>
      <c r="K34" s="49">
        <v>0</v>
      </c>
      <c r="L34" s="49">
        <f t="shared" si="0"/>
        <v>302</v>
      </c>
      <c r="M34" s="49">
        <f>E34-L34</f>
        <v>238</v>
      </c>
      <c r="N34" s="49">
        <v>0</v>
      </c>
      <c r="O34" s="49">
        <v>0</v>
      </c>
      <c r="P34" s="49">
        <v>0</v>
      </c>
      <c r="Q34" s="49">
        <v>0</v>
      </c>
      <c r="R34" s="49">
        <f t="shared" si="1"/>
        <v>0</v>
      </c>
      <c r="S34" s="49">
        <f>M34-R34</f>
        <v>238</v>
      </c>
      <c r="T34" s="50">
        <v>240446</v>
      </c>
      <c r="U34" s="50">
        <f>T34-V34</f>
        <v>120892</v>
      </c>
      <c r="V34" s="50">
        <v>119554</v>
      </c>
      <c r="W34" s="50">
        <f t="shared" si="2"/>
        <v>235.7313725490196</v>
      </c>
      <c r="X34" s="50">
        <f t="shared" si="3"/>
        <v>2.2686274509804036</v>
      </c>
      <c r="Y34" s="51">
        <f t="shared" si="4"/>
        <v>235.7313725490196</v>
      </c>
      <c r="Z34" s="51">
        <f t="shared" si="5"/>
        <v>117.20980392156862</v>
      </c>
      <c r="AA34" s="51">
        <f t="shared" si="6"/>
        <v>118.52156862745097</v>
      </c>
      <c r="AB34" s="52">
        <f>IF(OR(S34="",M34="",M34=0),"",S34/M34)</f>
        <v>1</v>
      </c>
      <c r="AC34" s="52">
        <f>IF(OR(Y34="",S34="",S34=0),"",Y34/S34)</f>
        <v>0.99046795188663694</v>
      </c>
      <c r="AD34" s="52">
        <f>IF(OR(AA34="",Y34="",Y34=0),"",AA34/Y34)</f>
        <v>0.50278232950433777</v>
      </c>
      <c r="AE34" s="53">
        <f t="shared" si="7"/>
        <v>0.49798978414895367</v>
      </c>
      <c r="AF34" s="14">
        <f t="shared" si="8"/>
        <v>0.21948438634713144</v>
      </c>
      <c r="AG34" s="15" t="s">
        <v>57</v>
      </c>
    </row>
    <row r="35" spans="1:33" ht="28.8" x14ac:dyDescent="0.3">
      <c r="A35" s="61" t="s">
        <v>70</v>
      </c>
      <c r="B35" s="62"/>
      <c r="C35" s="62"/>
      <c r="D35" s="63">
        <f>SUM(D4:D34)</f>
        <v>44640</v>
      </c>
      <c r="E35" s="63">
        <f>SUM(E4:E34)</f>
        <v>11340</v>
      </c>
      <c r="F35" s="63">
        <f>SUM(F4:F34)</f>
        <v>33300</v>
      </c>
      <c r="G35" s="63"/>
      <c r="H35" s="63"/>
      <c r="I35" s="63"/>
      <c r="J35" s="63"/>
      <c r="K35" s="63"/>
      <c r="L35" s="63">
        <f>SUM(L4:L34)</f>
        <v>6445</v>
      </c>
      <c r="M35" s="63">
        <f>SUM(M4:M34)</f>
        <v>4895</v>
      </c>
      <c r="N35" s="63"/>
      <c r="O35" s="63"/>
      <c r="P35" s="63"/>
      <c r="Q35" s="63"/>
      <c r="R35" s="63">
        <f>SUM(R4:R34)</f>
        <v>2223</v>
      </c>
      <c r="S35" s="63">
        <f>SUM(S4:S34)</f>
        <v>2672</v>
      </c>
      <c r="T35" s="64">
        <f>SUM(T4:T34)</f>
        <v>2704468</v>
      </c>
      <c r="U35" s="64">
        <f>SUM(U4:U34)</f>
        <v>2528936</v>
      </c>
      <c r="V35" s="64">
        <f>SUM(V4:V34)</f>
        <v>175532</v>
      </c>
      <c r="W35" s="64"/>
      <c r="X35" s="64"/>
      <c r="Y35" s="65">
        <f>SUM(Y4:Y34)</f>
        <v>2651.4392156862741</v>
      </c>
      <c r="Z35" s="65"/>
      <c r="AA35" s="65">
        <f>SUM(AA4:AA34)</f>
        <v>2479.3490196078433</v>
      </c>
      <c r="AB35" s="66">
        <f>IF(OR(S35="",M35="",M35=0),"",S35/M35)</f>
        <v>0.54586312563840655</v>
      </c>
      <c r="AC35" s="66">
        <f>IF(OR(Y35="",S35="",S35=0),"",Y35/S35)</f>
        <v>0.99230509569097081</v>
      </c>
      <c r="AD35" s="66">
        <f>IF(OR(AA35="",Y35="",Y35=0),"",AA35/Y35)</f>
        <v>0.93509555298861013</v>
      </c>
      <c r="AE35" s="53">
        <f t="shared" si="7"/>
        <v>0.50650643914358395</v>
      </c>
      <c r="AF35" s="30">
        <f t="shared" si="8"/>
        <v>0.21863747968323133</v>
      </c>
      <c r="AG35" s="31" t="s">
        <v>71</v>
      </c>
    </row>
    <row r="36" spans="1:33" ht="43.2" x14ac:dyDescent="0.3">
      <c r="A36" s="67" t="s">
        <v>72</v>
      </c>
      <c r="B36" s="68"/>
      <c r="C36" s="68"/>
      <c r="D36" s="69">
        <f>D35/60</f>
        <v>744</v>
      </c>
      <c r="E36" s="69">
        <f>E35/60</f>
        <v>189</v>
      </c>
      <c r="F36" s="69">
        <f>F35/60</f>
        <v>555</v>
      </c>
      <c r="G36" s="69"/>
      <c r="H36" s="69"/>
      <c r="I36" s="69"/>
      <c r="J36" s="69"/>
      <c r="K36" s="69"/>
      <c r="L36" s="69">
        <f>L35/60</f>
        <v>107.41666666666667</v>
      </c>
      <c r="M36" s="69">
        <f>M35/60</f>
        <v>81.583333333333329</v>
      </c>
      <c r="N36" s="69"/>
      <c r="O36" s="69"/>
      <c r="P36" s="69"/>
      <c r="Q36" s="69"/>
      <c r="R36" s="69">
        <f>R35/60</f>
        <v>37.049999999999997</v>
      </c>
      <c r="S36" s="69">
        <f>S35/60</f>
        <v>44.533333333333331</v>
      </c>
      <c r="T36" s="69">
        <f>SUM(T5:T35)</f>
        <v>5408936</v>
      </c>
      <c r="U36" s="69">
        <f>SUM(U5:U35)</f>
        <v>5057872</v>
      </c>
      <c r="V36" s="69">
        <f>SUM(V5:V35)</f>
        <v>351064</v>
      </c>
      <c r="W36" s="69"/>
      <c r="X36" s="69"/>
      <c r="Y36" s="70">
        <f>Y35/60</f>
        <v>44.190653594771234</v>
      </c>
      <c r="Z36" s="70"/>
      <c r="AA36" s="70">
        <f>AA35/60</f>
        <v>41.322483660130722</v>
      </c>
      <c r="AB36" s="71">
        <f>AB35</f>
        <v>0.54586312563840655</v>
      </c>
      <c r="AC36" s="71">
        <f>AC35</f>
        <v>0.99230509569097081</v>
      </c>
      <c r="AD36" s="71">
        <f>AD35</f>
        <v>0.93509555298861013</v>
      </c>
      <c r="AE36" s="72">
        <f>AE35</f>
        <v>0.50650643914358395</v>
      </c>
      <c r="AF36" s="38">
        <f>AF35</f>
        <v>0.21863747968323133</v>
      </c>
      <c r="AG36" s="39" t="s">
        <v>73</v>
      </c>
    </row>
  </sheetData>
  <mergeCells count="1">
    <mergeCell ref="A1:AD1"/>
  </mergeCells>
  <conditionalFormatting sqref="AE4:AE36">
    <cfRule type="expression" dxfId="1" priority="2">
      <formula>AND(ISNUMBER(AE4),AE4&lt;0.55)</formula>
    </cfRule>
  </conditionalFormatting>
  <conditionalFormatting sqref="AE4:AE36">
    <cfRule type="expression" dxfId="0" priority="2">
      <formula>AND(ISNUMBER(AE4),AE4&gt;=0.55)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03-25</vt:lpstr>
      <vt:lpstr>04-25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Maghraoui</dc:creator>
  <cp:lastModifiedBy>Omar Maghraoui</cp:lastModifiedBy>
  <dcterms:created xsi:type="dcterms:W3CDTF">2026-04-30T14:56:01Z</dcterms:created>
  <dcterms:modified xsi:type="dcterms:W3CDTF">2026-04-30T19:20:05Z</dcterms:modified>
</cp:coreProperties>
</file>